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AC94629319E9171A/Desktop/Portofilio Projects/Product-Sales-Project-using-Excel/"/>
    </mc:Choice>
  </mc:AlternateContent>
  <xr:revisionPtr revIDLastSave="52" documentId="8_{7FCFD000-5BD5-4AB9-ACF1-841AE4CD3BF5}" xr6:coauthVersionLast="47" xr6:coauthVersionMax="47" xr10:uidLastSave="{6FBC7EA6-387F-4647-9B73-6FFB5AE8CC15}"/>
  <bookViews>
    <workbookView xWindow="-108" yWindow="-108" windowWidth="23256" windowHeight="12456" xr2:uid="{00000000-000D-0000-FFFF-FFFF00000000}"/>
  </bookViews>
  <sheets>
    <sheet name="Power_Pivot_Table" sheetId="2" r:id="rId1"/>
    <sheet name="Raw_Data" sheetId="1" r:id="rId2"/>
    <sheet name="Dashboard" sheetId="3" r:id="rId3"/>
    <sheet name="KPI's &amp; Requirement" sheetId="4" r:id="rId4"/>
  </sheets>
  <definedNames>
    <definedName name="_xlchart.v1.0" hidden="1">Power_Pivot_Table!$E$29:$E$35</definedName>
    <definedName name="_xlchart.v1.1" hidden="1">Power_Pivot_Table!$F$29:$F$35</definedName>
    <definedName name="_xlchart.v1.2" hidden="1">Power_Pivot_Table!$E$29:$E$35</definedName>
    <definedName name="_xlchart.v1.3" hidden="1">Power_Pivot_Table!$F$29:$F$35</definedName>
    <definedName name="_xlcn.WorksheetConnection_ProductSalesRegion.xlsxTable11" hidden="1">Table1[]</definedName>
    <definedName name="Slicer_Product">#N/A</definedName>
    <definedName name="Slicer_Region">#N/A</definedName>
    <definedName name="Timeline_Date">#N/A</definedName>
  </definedNames>
  <calcPr calcId="191029"/>
  <pivotCaches>
    <pivotCache cacheId="84" r:id="rId5"/>
    <pivotCache cacheId="87" r:id="rId6"/>
    <pivotCache cacheId="90" r:id="rId7"/>
    <pivotCache cacheId="93" r:id="rId8"/>
    <pivotCache cacheId="96" r:id="rId9"/>
    <pivotCache cacheId="99" r:id="rId10"/>
    <pivotCache cacheId="102" r:id="rId11"/>
    <pivotCache cacheId="105"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FCE2AD5D-F65C-4FA6-A056-5C36A1767C68}">
      <x15:dataModel>
        <x15:modelTables>
          <x15:modelTable id="Table1" name="Table1" connection="WorksheetConnection_Product-Sales-Region.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2" l="1" a="1"/>
  <c r="E29" i="2" s="1"/>
  <c r="F31" i="2"/>
  <c r="H101" i="2"/>
  <c r="G99" i="2"/>
  <c r="F35" i="2"/>
  <c r="F32" i="2"/>
  <c r="G101" i="2"/>
  <c r="F30" i="2"/>
  <c r="G100" i="2"/>
  <c r="F29" i="2"/>
  <c r="H100" i="2"/>
  <c r="H99" i="2"/>
  <c r="F34" i="2"/>
  <c r="F33" i="2"/>
  <c r="H98" i="2"/>
  <c r="G9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A95ABC-1D81-4201-9EDF-315E6D4E290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4CD92E2-2E07-40B5-A642-7945FA67331D}" name="WorksheetConnection_Product-Sales-Region.xlsx!Table1" type="102" refreshedVersion="8" minRefreshableVersion="5">
    <extLst>
      <ext xmlns:x15="http://schemas.microsoft.com/office/spreadsheetml/2010/11/main" uri="{DE250136-89BD-433C-8126-D09CA5730AF9}">
        <x15:connection id="Table1">
          <x15:rangePr sourceName="_xlcn.WorksheetConnection_ProductSalesRegion.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<sst xmlns="http://schemas.openxmlformats.org/spreadsheetml/2006/main" count="15127" uniqueCount="2973">
  <si>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</si>
  <si>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</si>
  <si>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</si>
  <si>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</si>
  <si>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</si>
  <si>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</si>
  <si>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</si>
  <si>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</si>
  <si>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</si>
  <si>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</si>
  <si>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</si>
  <si>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</si>
  <si>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</si>
  <si>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</si>
  <si>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</si>
  <si>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</si>
  <si>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</si>
  <si>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</si>
  <si>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</si>
  <si>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</si>
  <si>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</si>
  <si>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</si>
  <si>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</si>
  <si>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</si>
  <si>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</si>
  <si>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</si>
  <si>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</si>
  <si>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</si>
  <si>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</si>
  <si>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</si>
  <si>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</si>
  <si>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</si>
  <si>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</si>
  <si>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</si>
  <si>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</si>
  <si>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</si>
  <si>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</si>
  <si>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</si>
  <si>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</si>
  <si>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</si>
  <si>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</si>
  <si>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</si>
  <si>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</si>
  <si>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</si>
  <si>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</si>
  <si>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</si>
  <si>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</si>
  <si>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</si>
  <si>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</si>
  <si>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</si>
  <si>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</si>
  <si>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</si>
  <si>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</si>
  <si>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</si>
  <si>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</si>
  <si>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</si>
  <si>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</si>
  <si>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</si>
  <si>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</si>
  <si>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</si>
  <si>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</si>
  <si>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</si>
  <si>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</si>
  <si>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</si>
  <si>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</si>
  <si>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</si>
  <si>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</si>
  <si>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</si>
  <si>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</si>
  <si>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</si>
  <si>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</si>
  <si>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</si>
  <si>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</si>
  <si>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</si>
  <si>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</si>
  <si>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</si>
  <si>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</si>
  <si>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</si>
  <si>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</si>
  <si>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</si>
  <si>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</si>
  <si>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</si>
  <si>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</si>
  <si>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</si>
  <si>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</si>
  <si>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</si>
  <si>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</si>
  <si>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</si>
  <si>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</si>
  <si>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</si>
  <si>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</si>
  <si>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</si>
  <si>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</si>
  <si>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</si>
  <si>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</si>
  <si>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</si>
  <si>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</si>
  <si>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</si>
  <si>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</si>
  <si>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</si>
  <si>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</si>
  <si>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</si>
  <si>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</si>
  <si>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</si>
  <si>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</si>
  <si>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</si>
  <si>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</si>
  <si>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</si>
  <si>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</si>
  <si>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</si>
  <si>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</si>
  <si>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</si>
  <si>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</si>
  <si>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</si>
  <si>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</si>
  <si>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</si>
  <si>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</si>
  <si>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</si>
  <si>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</si>
  <si>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</si>
  <si>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</si>
  <si>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</si>
  <si>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</si>
  <si>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</si>
  <si>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</si>
  <si>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</si>
  <si>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</si>
  <si>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</si>
  <si>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</si>
  <si>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</si>
  <si>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</si>
  <si>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</si>
  <si>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</si>
  <si>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</si>
  <si>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</si>
  <si>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</si>
  <si>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</si>
  <si>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</si>
  <si>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</si>
  <si>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</si>
  <si>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</si>
  <si>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</si>
  <si>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</si>
  <si>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</si>
  <si>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</si>
  <si>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</si>
  <si>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</si>
  <si>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</si>
  <si>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</si>
  <si>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</si>
  <si>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</si>
  <si>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</si>
  <si>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</si>
  <si>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</si>
  <si>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</si>
  <si>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</si>
  <si>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</si>
  <si>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</si>
  <si>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</si>
  <si>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</si>
  <si>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</si>
  <si>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</si>
  <si>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</si>
  <si>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</si>
  <si>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</si>
  <si>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</si>
  <si>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</si>
  <si>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</si>
  <si>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</si>
  <si>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</si>
  <si>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</si>
  <si>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</si>
  <si>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</si>
  <si>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</si>
  <si>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</si>
  <si>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</si>
  <si>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</si>
  <si>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</si>
  <si>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</si>
  <si>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</si>
  <si>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</si>
  <si>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</si>
  <si>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</si>
  <si>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</si>
  <si>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</si>
  <si>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</si>
  <si>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</si>
  <si>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</si>
  <si>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</si>
  <si>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</si>
  <si>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</si>
  <si>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</si>
  <si>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</si>
  <si>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</si>
  <si>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</si>
  <si>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</si>
  <si>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</si>
  <si>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</si>
  <si>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</si>
  <si>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</si>
  <si>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</si>
  <si>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</si>
  <si>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</si>
  <si>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</si>
  <si>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</si>
  <si>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</si>
  <si>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</si>
  <si>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</si>
  <si>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</si>
  <si>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</si>
  <si>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</si>
  <si>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</si>
  <si>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</si>
  <si>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</si>
  <si>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</si>
  <si>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</si>
  <si>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</si>
  <si>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</si>
  <si>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</si>
  <si>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</si>
  <si>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</si>
  <si>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</si>
  <si>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</si>
  <si>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</si>
  <si>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</si>
  <si>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</si>
  <si>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</si>
  <si>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</si>
  <si>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</si>
  <si>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</si>
  <si>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</si>
  <si>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</si>
  <si>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</si>
  <si>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</si>
  <si>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</si>
  <si>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</si>
  <si>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</si>
  <si>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</si>
  <si>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</si>
  <si>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</si>
  <si>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</si>
  <si>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</si>
  <si>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</si>
  <si>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</si>
  <si>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</si>
  <si>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</si>
  <si>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</si>
  <si>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</si>
  <si>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</si>
  <si>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</si>
  <si>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</si>
  <si>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</si>
  <si>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</si>
  <si>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</si>
  <si>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</si>
  <si>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</si>
  <si>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</si>
  <si>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</si>
  <si>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</si>
  <si>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</si>
  <si>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</si>
  <si>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</si>
  <si>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</si>
  <si>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</si>
  <si>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</si>
  <si>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</si>
  <si>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</si>
  <si>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</si>
  <si>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</si>
  <si>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</si>
  <si>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</si>
  <si>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</si>
  <si>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</si>
  <si>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</si>
  <si>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</si>
  <si>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</si>
  <si>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</si>
  <si>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</si>
  <si>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</si>
  <si>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</si>
  <si>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</si>
  <si>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</si>
  <si>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</si>
  <si>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</si>
  <si>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</si>
  <si>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</si>
  <si>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</si>
  <si>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</si>
  <si>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</si>
  <si>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</si>
  <si>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</si>
  <si>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</si>
  <si>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</si>
  <si>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</si>
  <si>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</si>
  <si>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</si>
  <si>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</si>
  <si>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</si>
  <si>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</si>
  <si>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</si>
  <si>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</si>
  <si>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</si>
  <si>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</si>
  <si>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</si>
  <si>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</si>
  <si>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</si>
  <si>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</si>
  <si>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</si>
  <si>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</si>
  <si>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</si>
  <si>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</si>
  <si>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</si>
  <si>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</si>
  <si>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</si>
  <si>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</si>
  <si>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</si>
  <si>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</si>
  <si>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</si>
  <si>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</si>
  <si>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</si>
  <si>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</si>
  <si>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</si>
  <si>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</si>
  <si>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</si>
  <si>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</si>
  <si>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</si>
  <si>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</si>
  <si>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</si>
  <si>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</si>
  <si>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</si>
  <si>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</si>
  <si>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</si>
  <si>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</si>
  <si>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</si>
  <si>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</si>
  <si>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</si>
  <si>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</si>
  <si>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</si>
  <si>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</si>
  <si>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</si>
  <si>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</si>
  <si>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</si>
  <si>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</si>
  <si>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</si>
  <si>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</si>
  <si>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</si>
  <si>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</si>
  <si>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</si>
  <si>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</si>
  <si>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</si>
  <si>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</si>
  <si>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</si>
  <si>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</si>
  <si>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</si>
  <si>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</si>
  <si>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</si>
  <si>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</si>
  <si>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</si>
  <si>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</si>
  <si>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</si>
  <si>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</si>
  <si>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</si>
  <si>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</si>
  <si>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</si>
  <si>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</si>
  <si>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</si>
  <si>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</si>
  <si>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</si>
  <si>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</si>
  <si>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</si>
  <si>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</si>
  <si>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</si>
  <si>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</si>
  <si>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</si>
  <si>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</si>
  <si>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</si>
  <si>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</si>
  <si>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</si>
  <si>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</si>
  <si>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</si>
  <si>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</si>
  <si>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</si>
  <si>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</si>
  <si>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</si>
  <si>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</si>
  <si>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</si>
  <si>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</si>
  <si>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</si>
  <si>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</si>
  <si>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</si>
  <si>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</si>
  <si>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</si>
  <si>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</si>
  <si>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</si>
  <si>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</si>
  <si>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</si>
  <si>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</si>
  <si>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</si>
  <si>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</si>
  <si>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</si>
  <si>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</si>
  <si>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</si>
  <si>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</si>
  <si>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</si>
  <si>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</si>
  <si>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</si>
  <si>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</si>
  <si>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</si>
  <si>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</si>
  <si>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</si>
  <si>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</si>
  <si>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</si>
  <si>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</si>
  <si>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</si>
  <si>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</si>
  <si>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</si>
  <si>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</si>
  <si>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</si>
  <si>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</si>
  <si>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</si>
  <si>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</si>
  <si>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</si>
  <si>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</si>
  <si>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</si>
  <si>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</si>
  <si>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</si>
  <si>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</si>
  <si>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</si>
  <si>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</si>
  <si>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</si>
  <si>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</si>
  <si>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</si>
  <si>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</si>
  <si>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</si>
  <si>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</si>
  <si>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</si>
  <si>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</si>
  <si>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</si>
  <si>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</si>
  <si>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</si>
  <si>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</si>
  <si>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</si>
  <si>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</si>
  <si>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</si>
  <si>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</si>
  <si>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</si>
  <si>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</si>
  <si>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</si>
  <si>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</si>
  <si>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</si>
  <si>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</si>
  <si>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</si>
  <si>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</si>
  <si>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</si>
  <si>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</si>
  <si>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</si>
  <si>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</si>
  <si>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</si>
  <si>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</si>
  <si>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</si>
  <si>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</si>
  <si>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</si>
  <si>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</si>
  <si>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</si>
  <si>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</si>
  <si>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</si>
  <si>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</si>
  <si>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</si>
  <si>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</si>
  <si>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</si>
  <si>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</si>
  <si>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</si>
  <si>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</si>
  <si>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</si>
  <si>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</si>
  <si>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</si>
  <si>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</si>
  <si>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</si>
  <si>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</si>
  <si>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</si>
  <si>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</si>
  <si>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</si>
  <si>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</si>
  <si>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</si>
  <si>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</si>
  <si>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</si>
  <si>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</si>
  <si>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</si>
  <si>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</si>
  <si>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</si>
  <si>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</si>
  <si>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</si>
  <si>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</si>
  <si>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</si>
  <si>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</si>
  <si>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</si>
  <si>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</si>
  <si>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</si>
  <si>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</si>
  <si>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</si>
  <si>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</si>
  <si>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</si>
  <si>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</si>
  <si>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</si>
  <si>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</si>
  <si>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</si>
  <si>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</si>
  <si>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</si>
  <si>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</si>
  <si>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</si>
  <si>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</si>
  <si>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</si>
  <si>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</si>
  <si>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</si>
  <si>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</si>
  <si>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</si>
  <si>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</si>
  <si>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</si>
  <si>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</si>
  <si>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</si>
  <si>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</si>
  <si>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</si>
  <si>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</si>
  <si>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</si>
  <si>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</si>
  <si>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</si>
  <si>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</si>
  <si>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</si>
  <si>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</si>
  <si>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</si>
  <si>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</si>
  <si>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</si>
  <si>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</si>
  <si>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</si>
  <si>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</si>
  <si>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</si>
  <si>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</si>
  <si>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</si>
  <si>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</si>
  <si>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</si>
  <si>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</si>
  <si>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</si>
  <si>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</si>
  <si>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</si>
  <si>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</si>
  <si>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</si>
  <si>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</si>
  <si>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</si>
  <si>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</si>
  <si>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</si>
  <si>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</si>
  <si>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</si>
  <si>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</si>
  <si>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</si>
  <si>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</si>
  <si>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</si>
  <si>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</si>
  <si>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</si>
  <si>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</si>
  <si>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</si>
  <si>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</si>
  <si>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</si>
  <si>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</si>
  <si>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</si>
  <si>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</si>
  <si>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</si>
  <si>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</si>
  <si>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</si>
  <si>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</si>
  <si>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</si>
  <si>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</si>
  <si>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</si>
  <si>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</si>
  <si>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</si>
  <si>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</si>
  <si>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</si>
  <si>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</si>
  <si>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</si>
  <si>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</si>
  <si>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</si>
  <si>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</si>
  <si>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</si>
  <si>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</si>
  <si>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</si>
  <si>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</si>
  <si>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</si>
  <si>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</si>
  <si>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</si>
  <si>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</si>
  <si>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</si>
  <si>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</si>
  <si>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</si>
  <si>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</si>
  <si>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</si>
  <si>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</si>
  <si>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</si>
  <si>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</si>
  <si>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</si>
  <si>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</si>
  <si>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</si>
  <si>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</si>
  <si>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</si>
  <si>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</si>
  <si>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</si>
  <si>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</si>
  <si>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</si>
  <si>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</si>
  <si>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</si>
  <si>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</si>
  <si>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</si>
  <si>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</si>
  <si>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</si>
  <si>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</si>
  <si>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</si>
  <si>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</si>
  <si>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</si>
  <si>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</si>
  <si>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</si>
  <si>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</si>
  <si>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</si>
  <si>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</si>
  <si>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</si>
  <si>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</si>
  <si>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</si>
  <si>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</si>
  <si>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</si>
  <si>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</si>
  <si>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</si>
  <si>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</si>
  <si>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</si>
  <si>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</si>
  <si>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</si>
  <si>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</si>
  <si>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</si>
  <si>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</si>
  <si>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</si>
  <si>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</si>
  <si>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</si>
  <si>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</si>
  <si>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</si>
  <si>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</si>
  <si>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</si>
  <si>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</si>
  <si>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</si>
  <si>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</si>
  <si>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</si>
  <si>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</si>
  <si>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</si>
  <si>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</si>
  <si>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</si>
  <si>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</si>
  <si>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</si>
  <si>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</si>
  <si>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</si>
  <si>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</si>
  <si>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</si>
  <si>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</si>
  <si>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</si>
  <si>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</si>
  <si>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</si>
  <si>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</si>
  <si>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</si>
  <si>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</si>
  <si>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</si>
  <si>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</si>
  <si>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</si>
  <si>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</si>
  <si>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</si>
  <si>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</si>
  <si>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</si>
  <si>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</si>
  <si>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</si>
  <si>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</si>
  <si>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</si>
  <si>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</si>
  <si>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</si>
  <si>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</si>
  <si>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</si>
  <si>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</si>
  <si>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</si>
  <si>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</si>
  <si>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</si>
  <si>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</si>
  <si>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</si>
  <si>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</si>
  <si>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</si>
  <si>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</si>
  <si>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</si>
  <si>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</si>
  <si>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</si>
  <si>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</si>
  <si>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</si>
  <si>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</si>
  <si>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</si>
  <si>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</si>
  <si>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</si>
  <si>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</si>
  <si>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</si>
  <si>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</si>
  <si>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</si>
  <si>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</si>
  <si>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</si>
  <si>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</si>
  <si>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</si>
  <si>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</si>
  <si>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</si>
  <si>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</si>
  <si>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</si>
  <si>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</si>
  <si>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</si>
  <si>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</si>
  <si>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</si>
  <si>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</si>
  <si>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</si>
  <si>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</si>
  <si>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</si>
  <si>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</si>
  <si>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</si>
  <si>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</si>
  <si>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</si>
  <si>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</si>
  <si>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</si>
  <si>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</si>
  <si>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</si>
  <si>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</si>
  <si>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</si>
  <si>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</si>
  <si>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</si>
  <si>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</si>
  <si>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</si>
  <si>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</si>
  <si>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</si>
  <si>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</si>
  <si>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</si>
  <si>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</si>
  <si>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</si>
  <si>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</si>
  <si>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</si>
  <si>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</si>
  <si>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</si>
  <si>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</si>
  <si>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</si>
  <si>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</si>
  <si>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</si>
  <si>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</si>
  <si>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</si>
  <si>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</si>
  <si>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</si>
  <si>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</si>
  <si>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</si>
  <si>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</si>
  <si>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</si>
  <si>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</si>
  <si>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</si>
  <si>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</si>
  <si>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</si>
  <si>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</si>
  <si>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</si>
  <si>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</si>
  <si>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</si>
  <si>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</si>
  <si>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</si>
  <si>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</si>
  <si>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</si>
  <si>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</si>
  <si>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</si>
  <si>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</si>
  <si>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</si>
  <si>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</si>
  <si>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</si>
  <si>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</si>
  <si>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</si>
  <si>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</si>
  <si>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</si>
  <si>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</si>
  <si>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</si>
  <si>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</si>
  <si>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</si>
  <si>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</si>
  <si>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</si>
  <si>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</si>
  <si>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</si>
  <si>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</si>
  <si>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</si>
  <si>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</si>
  <si>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</si>
  <si>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</si>
  <si>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</si>
  <si>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</si>
  <si>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</si>
  <si>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</si>
  <si>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</si>
  <si>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</si>
  <si>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</si>
  <si>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</si>
  <si>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</si>
  <si>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</si>
  <si>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</si>
  <si>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</si>
  <si>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</si>
  <si>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</si>
  <si>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</si>
  <si>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</si>
  <si>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</si>
  <si>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</si>
  <si>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</si>
  <si>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</si>
  <si>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</si>
  <si>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</si>
  <si>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</si>
  <si>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</si>
  <si>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</si>
  <si>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</si>
  <si>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</si>
  <si>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</si>
  <si>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</si>
  <si>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</si>
  <si>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</si>
  <si>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</si>
  <si>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</si>
  <si>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</si>
  <si>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</si>
  <si>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</si>
  <si>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</si>
  <si>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</si>
  <si>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</si>
  <si>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</si>
  <si>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</si>
  <si>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</si>
  <si>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</si>
  <si>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</si>
  <si>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</si>
  <si>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</si>
  <si>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</si>
  <si>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</si>
  <si>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</si>
  <si>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</si>
  <si>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</si>
  <si>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</si>
  <si>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</si>
  <si>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</si>
  <si>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</si>
  <si>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</si>
  <si>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</si>
  <si>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</si>
  <si>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</si>
  <si>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</si>
  <si>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</si>
  <si>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</si>
  <si>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</si>
  <si>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</si>
  <si>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</si>
  <si>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</si>
  <si>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</si>
  <si>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</si>
  <si>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</si>
  <si>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</si>
  <si>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</si>
  <si>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</si>
  <si>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</si>
  <si>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</si>
  <si>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</si>
  <si>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</si>
  <si>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</si>
  <si>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</si>
  <si>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</si>
  <si>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</si>
  <si>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</si>
  <si>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</si>
  <si>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</si>
  <si>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</si>
  <si>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</si>
  <si>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</si>
  <si>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</si>
  <si>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</si>
  <si>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</si>
  <si>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</si>
  <si>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</si>
  <si>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</si>
  <si>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</si>
  <si>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</si>
  <si>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</si>
  <si>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</si>
  <si>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</si>
  <si>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</si>
  <si>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</si>
  <si>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</si>
  <si>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</si>
  <si>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</si>
  <si>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</si>
  <si>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</si>
  <si>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</si>
  <si>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</si>
  <si>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</si>
  <si>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</si>
  <si>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</si>
  <si>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</si>
  <si>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</si>
  <si>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</si>
  <si>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</si>
  <si>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</si>
  <si>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</si>
  <si>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</si>
  <si>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</si>
  <si>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</si>
  <si>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</si>
  <si>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</si>
  <si>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</si>
  <si>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</si>
  <si>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</si>
  <si>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</si>
  <si>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</si>
  <si>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</si>
  <si>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</si>
  <si>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</si>
  <si>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</si>
  <si>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</si>
  <si>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</si>
  <si>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</si>
  <si>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</si>
  <si>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</si>
  <si>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</si>
  <si>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</si>
  <si>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</si>
  <si>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</si>
  <si>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</si>
  <si>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</si>
  <si>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</si>
  <si>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</si>
  <si>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</si>
  <si>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</si>
  <si>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</si>
  <si>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</si>
  <si>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</si>
  <si>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</si>
  <si>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</si>
  <si>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</si>
  <si>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</si>
  <si>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</si>
  <si>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</si>
  <si>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</si>
  <si>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</si>
  <si>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</si>
  <si>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</si>
  <si>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</si>
  <si>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</si>
  <si>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</si>
  <si>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</si>
  <si>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</si>
  <si>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</si>
  <si>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</si>
  <si>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</si>
  <si>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</si>
  <si>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</si>
  <si>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</si>
  <si>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</si>
  <si>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</si>
  <si>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</si>
  <si>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</si>
  <si>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</si>
  <si>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</si>
  <si>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</si>
  <si>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</si>
  <si>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</si>
  <si>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</si>
  <si>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</si>
  <si>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</si>
  <si>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</si>
  <si>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</si>
  <si>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</si>
  <si>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</si>
  <si>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</si>
  <si>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</si>
  <si>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</si>
  <si>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</si>
  <si>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</si>
  <si>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</si>
  <si>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</si>
  <si>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</si>
  <si>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</si>
  <si>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</si>
  <si>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</si>
  <si>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</si>
  <si>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</si>
  <si>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</si>
  <si>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</si>
  <si>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</si>
  <si>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</si>
  <si>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</si>
  <si>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</si>
  <si>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</si>
  <si>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</si>
  <si>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</si>
  <si>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</si>
  <si>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</si>
  <si>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</si>
  <si>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</si>
  <si>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</si>
  <si>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</si>
  <si>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</si>
  <si>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</si>
  <si>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</si>
  <si>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</si>
  <si>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</si>
  <si>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</si>
  <si>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</si>
  <si>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</si>
  <si>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</si>
  <si>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</si>
  <si>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</si>
  <si>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</si>
  <si>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</si>
  <si>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</si>
  <si>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</si>
  <si>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</si>
  <si>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</si>
  <si>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</si>
  <si>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</si>
  <si>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</si>
  <si>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</si>
  <si>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</si>
  <si>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</si>
  <si>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</si>
  <si>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</si>
  <si>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</si>
  <si>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</si>
  <si>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</si>
  <si>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</si>
  <si>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</si>
  <si>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</si>
  <si>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</si>
  <si>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</si>
  <si>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</si>
  <si>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</si>
  <si>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</si>
  <si>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</si>
  <si>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</si>
  <si>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</si>
  <si>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</si>
  <si>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</si>
  <si>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</si>
  <si>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</si>
  <si>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</si>
  <si>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</si>
  <si>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</si>
  <si>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</si>
  <si>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</si>
  <si>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</si>
  <si>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</si>
  <si>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</si>
  <si>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</si>
  <si>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</si>
  <si>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</si>
  <si>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</si>
  <si>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</si>
  <si>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</si>
  <si>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</si>
  <si>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</si>
  <si>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</si>
  <si>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</si>
  <si>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</si>
  <si>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</si>
  <si>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</si>
  <si>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</si>
  <si>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</si>
  <si>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</si>
  <si>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</si>
  <si>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</si>
  <si>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</si>
  <si>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</si>
  <si>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</si>
  <si>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</si>
  <si>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</si>
  <si>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</si>
  <si>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</si>
  <si>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</si>
  <si>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</si>
  <si>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</si>
  <si>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</si>
  <si>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</si>
  <si>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</si>
  <si>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</si>
  <si>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</si>
  <si>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</si>
  <si>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</si>
  <si>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</si>
  <si>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</si>
  <si>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</si>
  <si>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</si>
  <si>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</si>
  <si>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</si>
  <si>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</si>
  <si>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</si>
  <si>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</si>
  <si>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</si>
  <si>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</si>
  <si>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</si>
  <si>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</si>
  <si>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</si>
  <si>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</si>
  <si>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</si>
  <si>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</si>
  <si>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</si>
  <si>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</si>
  <si>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</si>
  <si>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</si>
  <si>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</si>
  <si>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</si>
  <si>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</si>
  <si>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</si>
  <si>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</si>
  <si>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</si>
  <si>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</si>
  <si>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</si>
  <si>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</si>
  <si>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</si>
  <si>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</si>
  <si>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</si>
  <si>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</si>
  <si>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</si>
  <si>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</si>
  <si>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</si>
  <si>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</si>
  <si>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</si>
  <si>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</si>
  <si>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</si>
  <si>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</si>
  <si>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</si>
  <si>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</si>
  <si>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</si>
  <si>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</si>
  <si>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</si>
  <si>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</si>
  <si>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</si>
  <si>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</si>
  <si>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</si>
  <si>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</si>
  <si>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</si>
  <si>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</si>
  <si>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</si>
  <si>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</si>
  <si>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</si>
  <si>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</si>
  <si>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</si>
  <si>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</si>
  <si>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</si>
  <si>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</si>
  <si>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</si>
  <si>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</si>
  <si>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</si>
  <si>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</si>
  <si>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</si>
  <si>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</si>
  <si>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</si>
  <si>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</si>
  <si>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</si>
  <si>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</si>
  <si>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</si>
  <si>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</si>
  <si>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</si>
  <si>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</si>
  <si>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</si>
  <si>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</si>
  <si>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</si>
  <si>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</si>
  <si>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</si>
  <si>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</si>
  <si>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</si>
  <si>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</si>
  <si>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</si>
  <si>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</si>
  <si>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</si>
  <si>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</si>
  <si>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</si>
  <si>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</si>
  <si>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</si>
  <si>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</si>
  <si>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</si>
  <si>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</si>
  <si>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</si>
  <si>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</si>
  <si>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</si>
  <si>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</si>
  <si>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</si>
  <si>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</si>
  <si>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</si>
  <si>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</si>
  <si>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</si>
  <si>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</si>
  <si>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</si>
  <si>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</si>
  <si>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</si>
  <si>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</si>
  <si>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</si>
  <si>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</si>
  <si>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</si>
  <si>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</si>
  <si>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</si>
  <si>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</si>
  <si>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</si>
  <si>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</si>
  <si>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</si>
  <si>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</si>
  <si>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</si>
  <si>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</si>
  <si>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</si>
  <si>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</si>
  <si>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</si>
  <si>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</si>
  <si>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</si>
  <si>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</si>
  <si>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</si>
  <si>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</si>
  <si>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</si>
  <si>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</si>
  <si>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</si>
  <si>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</si>
  <si>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</si>
  <si>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</si>
  <si>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</si>
  <si>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</si>
  <si>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</si>
  <si>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</si>
  <si>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</si>
  <si>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</si>
  <si>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</si>
  <si>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</si>
  <si>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</si>
  <si>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</si>
  <si>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</si>
  <si>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</si>
  <si>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</si>
  <si>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</si>
  <si>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</si>
  <si>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</si>
  <si>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</si>
  <si>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</si>
  <si>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</si>
  <si>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</si>
  <si>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</si>
  <si>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</si>
  <si>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</si>
  <si>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</si>
  <si>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</si>
  <si>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</si>
  <si>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</si>
  <si>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</si>
  <si>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</si>
  <si>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</si>
  <si>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</si>
  <si>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</si>
  <si>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</si>
  <si>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</si>
  <si>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</si>
  <si>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</si>
  <si>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</si>
  <si>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</si>
  <si>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</si>
  <si>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</si>
  <si>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</si>
  <si>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</si>
  <si>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</si>
  <si>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</si>
  <si>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</si>
  <si>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</si>
  <si>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</si>
  <si>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</si>
  <si>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</si>
  <si>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</si>
  <si>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</si>
  <si>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</si>
  <si>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</si>
  <si>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</si>
  <si>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</si>
  <si>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</si>
  <si>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</si>
  <si>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</si>
  <si>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</si>
  <si>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</si>
  <si>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</si>
  <si>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</si>
  <si>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</si>
  <si>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</si>
  <si>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</si>
  <si>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</si>
  <si>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</si>
  <si>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</si>
  <si>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</si>
  <si>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</si>
  <si>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</si>
  <si>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</si>
  <si>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</si>
  <si>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</si>
  <si>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</si>
  <si>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</si>
  <si>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</si>
  <si>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</si>
  <si>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</si>
  <si>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</si>
  <si>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</si>
  <si>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</si>
  <si>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</si>
  <si>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</si>
  <si>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</si>
  <si>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</si>
  <si>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</si>
  <si>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</si>
  <si>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</si>
  <si>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</si>
  <si>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</si>
  <si>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</si>
  <si>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</si>
  <si>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</si>
  <si>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</si>
  <si>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</si>
  <si>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</si>
  <si>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</si>
  <si>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</si>
  <si>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</si>
  <si>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</si>
  <si>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</si>
  <si>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</si>
  <si>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</si>
  <si>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</si>
  <si>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</si>
  <si>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</si>
  <si>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</si>
  <si>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</si>
  <si>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</si>
  <si>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</si>
  <si>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</si>
  <si>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</si>
  <si>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</si>
  <si>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</si>
  <si>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</si>
  <si>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</si>
  <si>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</si>
  <si>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</si>
  <si>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</si>
  <si>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</si>
  <si>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</si>
  <si>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</si>
  <si>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</si>
  <si>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</si>
  <si>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</si>
  <si>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</si>
  <si>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</si>
  <si>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</si>
  <si>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</si>
  <si>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</si>
  <si>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</si>
  <si>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</si>
  <si>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</si>
  <si>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</si>
  <si>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</si>
  <si>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</si>
  <si>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</si>
  <si>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</si>
  <si>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</si>
  <si>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</si>
  <si>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</si>
  <si>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</si>
  <si>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</si>
  <si>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</si>
  <si>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</si>
  <si>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</si>
  <si>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</si>
  <si>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</si>
  <si>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</si>
  <si>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</si>
  <si>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</si>
  <si>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</si>
  <si>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</si>
  <si>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</si>
  <si>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</si>
  <si>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</si>
  <si>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</si>
  <si>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</si>
  <si>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</si>
  <si>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</si>
  <si>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</si>
  <si>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</si>
  <si>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</si>
  <si>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</si>
  <si>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</si>
  <si>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</si>
  <si>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</si>
  <si>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</si>
  <si>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</si>
  <si>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</si>
  <si>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</si>
  <si>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</si>
  <si>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</si>
  <si>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</si>
  <si>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</si>
  <si>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</si>
  <si>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</si>
  <si>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</si>
  <si>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</si>
  <si>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</si>
  <si>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</si>
  <si>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</si>
  <si>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</si>
  <si>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</si>
  <si>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</si>
  <si>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</si>
  <si>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</si>
  <si>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</si>
  <si>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</si>
  <si>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</si>
  <si>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</si>
  <si>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</si>
  <si>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</si>
  <si>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</si>
  <si>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</si>
  <si>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</si>
  <si>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</si>
  <si>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</si>
  <si>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</si>
  <si>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</si>
  <si>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</si>
  <si>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</si>
  <si>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</si>
  <si>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</si>
  <si>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</si>
  <si>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</si>
  <si>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</si>
  <si>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</si>
  <si>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</si>
  <si>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</si>
  <si>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</si>
  <si>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</si>
  <si>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</si>
  <si>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</si>
  <si>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</si>
  <si>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</si>
  <si>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</si>
  <si>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</si>
  <si>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</si>
  <si>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</si>
  <si>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</si>
  <si>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</si>
  <si>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</si>
  <si>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</si>
  <si>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</si>
  <si>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</si>
  <si>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</si>
  <si>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</si>
  <si>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</si>
  <si>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</si>
  <si>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</si>
  <si>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</si>
  <si>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</si>
  <si>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</si>
  <si>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</si>
  <si>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</si>
  <si>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</si>
  <si>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</si>
  <si>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</si>
  <si>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</si>
  <si>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</si>
  <si>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</si>
  <si>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</si>
  <si>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</si>
  <si>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</si>
  <si>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</si>
  <si>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</si>
  <si>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</si>
  <si>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</si>
  <si>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</si>
  <si>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</si>
  <si>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</si>
  <si>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</si>
  <si>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</si>
  <si>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</si>
  <si>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</si>
  <si>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</si>
  <si>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</si>
  <si>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</si>
  <si>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</si>
  <si>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</si>
  <si>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</si>
  <si>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</si>
  <si>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</si>
  <si>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</si>
  <si>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</si>
  <si>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</si>
  <si>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</si>
  <si>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</si>
  <si>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</si>
  <si>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</si>
  <si>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</si>
  <si>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</si>
  <si>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</si>
  <si>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</si>
  <si>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</si>
  <si>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</si>
  <si>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</si>
  <si>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</si>
  <si>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</si>
  <si>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</si>
  <si>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</si>
  <si>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</si>
  <si>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</si>
  <si>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</si>
  <si>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</si>
  <si>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</si>
  <si>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</si>
  <si>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</si>
  <si>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</si>
  <si>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</si>
  <si>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</si>
  <si>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</si>
  <si>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</si>
  <si>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</si>
  <si>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</si>
  <si>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</si>
  <si>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</si>
  <si>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</si>
  <si>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</si>
  <si>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</si>
  <si>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</si>
  <si>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</si>
  <si>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</si>
  <si>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</si>
  <si>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</si>
  <si>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</si>
  <si>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</si>
  <si>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</si>
  <si>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</si>
  <si>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</si>
  <si>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</si>
  <si>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</si>
  <si>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</si>
  <si>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</si>
  <si>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</si>
  <si>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</si>
  <si>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</si>
  <si>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</si>
  <si>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</si>
  <si>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</si>
  <si>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</si>
  <si>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</si>
  <si>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</si>
  <si>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</si>
  <si>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</si>
  <si>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</si>
  <si>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</si>
  <si>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</si>
  <si>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</si>
  <si>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</si>
  <si>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</si>
  <si>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</si>
  <si>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</si>
  <si>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</si>
  <si>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</si>
  <si>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</si>
  <si>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</si>
  <si>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</si>
  <si>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</si>
  <si>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</si>
  <si>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</si>
  <si>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</si>
  <si>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</si>
  <si>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</si>
  <si>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</si>
  <si>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</si>
  <si>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</si>
  <si>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</si>
  <si>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</si>
  <si>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</si>
  <si>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</si>
  <si>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</si>
  <si>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</si>
  <si>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</si>
  <si>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</si>
  <si>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</si>
  <si>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</si>
  <si>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</si>
  <si>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</si>
  <si>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</si>
  <si>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</si>
  <si>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</si>
  <si>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</si>
  <si>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</si>
  <si>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</si>
  <si>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</si>
  <si>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</si>
  <si>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</si>
  <si>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</si>
  <si>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</si>
  <si>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</si>
  <si>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</si>
  <si>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</si>
  <si>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</si>
  <si>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</si>
  <si>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</si>
  <si>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</si>
  <si>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</si>
  <si>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</si>
  <si>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</si>
  <si>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</si>
  <si>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</si>
  <si>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</si>
  <si>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</si>
  <si>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</si>
  <si>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</si>
  <si>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</si>
  <si>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</si>
  <si>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</si>
  <si>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</si>
  <si>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</si>
  <si>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</si>
  <si>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</si>
  <si>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</si>
  <si>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</si>
  <si>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</si>
  <si>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</si>
  <si>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</si>
  <si>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</si>
  <si>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</si>
  <si>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</si>
  <si>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</si>
  <si>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</si>
  <si>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</si>
  <si>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</si>
  <si>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</si>
  <si>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</si>
  <si>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</si>
  <si>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</si>
  <si>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</si>
  <si>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</si>
  <si>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</si>
  <si>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</si>
  <si>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</si>
  <si>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</si>
  <si>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</si>
  <si>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</si>
  <si>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</si>
  <si>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</si>
  <si>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</si>
  <si>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</si>
  <si>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</si>
  <si>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</si>
  <si>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</si>
  <si>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</si>
  <si>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</si>
  <si>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</si>
  <si>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</si>
  <si>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</si>
  <si>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</si>
  <si>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</si>
  <si>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</si>
  <si>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</si>
  <si>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</si>
  <si>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</si>
  <si>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</si>
  <si>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</si>
  <si>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</si>
  <si>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</si>
  <si>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</si>
  <si>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</si>
  <si>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</si>
  <si>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</si>
  <si>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</si>
  <si>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</si>
  <si>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</si>
  <si>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</si>
  <si>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</si>
  <si>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</si>
  <si>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</si>
  <si>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</si>
  <si>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</si>
  <si>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</si>
  <si>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</si>
  <si>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</si>
  <si>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</si>
  <si>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</si>
  <si>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</si>
  <si>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</si>
  <si>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</si>
  <si>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</si>
  <si>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</si>
  <si>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</si>
  <si>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</si>
  <si>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</si>
  <si>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</si>
  <si>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</si>
  <si>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</si>
  <si>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</si>
  <si>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</si>
  <si>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</si>
  <si>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</si>
  <si>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</si>
  <si>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</si>
  <si>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</si>
  <si>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</si>
  <si>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</si>
  <si>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</si>
  <si>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</si>
  <si>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</si>
  <si>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</si>
  <si>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</si>
  <si>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</si>
  <si>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</si>
  <si>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</si>
  <si>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</si>
  <si>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</si>
  <si>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</si>
  <si>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</si>
  <si>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</si>
  <si>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</si>
  <si>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</si>
  <si>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</si>
  <si>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</si>
  <si>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</si>
  <si>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</si>
  <si>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</si>
  <si>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</si>
  <si>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</si>
  <si>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</si>
  <si>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</si>
  <si>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</si>
  <si>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</si>
  <si>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</si>
  <si>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</si>
  <si>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</si>
  <si>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</si>
  <si>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</si>
  <si>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</si>
  <si>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</si>
  <si>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</si>
  <si>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</si>
  <si>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</si>
  <si>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</si>
  <si>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</si>
  <si>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</si>
  <si>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</si>
  <si>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</si>
  <si>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</si>
  <si>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</si>
  <si>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</si>
  <si>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</si>
  <si>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</si>
  <si>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</si>
  <si>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</si>
  <si>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</si>
  <si>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</si>
  <si>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</si>
  <si>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</si>
  <si>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</si>
  <si>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</si>
  <si>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</si>
  <si>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</si>
  <si>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</si>
  <si>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</si>
  <si>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</si>
  <si>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</si>
  <si>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</si>
  <si>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</si>
  <si>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</si>
  <si>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</si>
  <si>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</si>
  <si>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</si>
  <si>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</si>
  <si>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</si>
  <si>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</si>
  <si>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</si>
  <si>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</si>
  <si>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</si>
  <si>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</si>
  <si>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</si>
  <si>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</si>
  <si>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</si>
  <si>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</si>
  <si>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</si>
  <si>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</si>
  <si>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</si>
  <si>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</si>
  <si>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</si>
  <si>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</si>
  <si>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</si>
  <si>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</si>
  <si>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</si>
  <si>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</si>
  <si>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</si>
  <si>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</si>
  <si>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</si>
  <si>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</si>
  <si>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</si>
  <si>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</si>
  <si>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</si>
  <si>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</si>
  <si>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</si>
  <si>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</si>
  <si>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</si>
  <si>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</si>
  <si>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</si>
  <si>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</si>
  <si>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</si>
  <si>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</si>
  <si>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</si>
  <si>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</si>
  <si>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</si>
  <si>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</si>
  <si>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</si>
  <si>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</si>
  <si>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</si>
  <si>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</si>
  <si>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</si>
  <si>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</si>
  <si>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</si>
  <si>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</si>
  <si>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</si>
  <si>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</si>
  <si>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</si>
  <si>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</si>
  <si>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</si>
  <si>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</si>
  <si>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</si>
  <si>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</si>
  <si>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</si>
  <si>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</si>
  <si>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</si>
  <si>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</si>
  <si>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</si>
  <si>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</si>
  <si>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</si>
  <si>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</si>
  <si>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</si>
  <si>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</si>
  <si>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</si>
  <si>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</si>
  <si>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</si>
  <si>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</si>
  <si>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</si>
  <si>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</si>
  <si>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</si>
  <si>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</si>
  <si>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</si>
  <si>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</si>
  <si>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</si>
  <si>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</si>
  <si>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</si>
  <si>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</si>
  <si>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</si>
  <si>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</si>
  <si>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</si>
  <si>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</si>
  <si>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</si>
  <si>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</si>
  <si>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</si>
  <si>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</si>
  <si>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</si>
  <si>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</si>
  <si>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</si>
  <si>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</si>
  <si>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</si>
  <si>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</si>
  <si>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</si>
  <si>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</si>
  <si>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</si>
  <si>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</si>
  <si>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</si>
  <si>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</si>
  <si>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</si>
  <si>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</si>
  <si>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</si>
  <si>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</si>
  <si>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</si>
  <si>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</si>
  <si>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</si>
  <si>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</si>
  <si>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</si>
  <si>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</si>
  <si>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</si>
  <si>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</si>
  <si>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</si>
  <si>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</si>
  <si>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</si>
  <si>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</si>
  <si>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</si>
  <si>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</si>
  <si>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</si>
  <si>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</si>
  <si>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</si>
  <si>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</si>
  <si>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</si>
  <si>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</si>
  <si>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</si>
  <si>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</si>
  <si>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</si>
  <si>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</si>
  <si>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</si>
  <si>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</si>
  <si>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</si>
  <si>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</si>
  <si>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</si>
  <si>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</si>
  <si>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</si>
  <si>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</si>
  <si>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</si>
  <si>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</si>
  <si>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</si>
  <si>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</si>
  <si>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</si>
  <si>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</si>
  <si>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</si>
  <si>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</si>
  <si>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</si>
  <si>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</si>
  <si>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</si>
  <si>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</si>
  <si>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</si>
  <si>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</si>
  <si>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</si>
  <si>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</si>
  <si>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</si>
  <si>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</si>
  <si>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</si>
  <si>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</si>
  <si>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</si>
  <si>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</si>
  <si>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</si>
  <si>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</si>
  <si>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</si>
  <si>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</si>
  <si>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</si>
  <si>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</si>
  <si>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</si>
  <si>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</si>
  <si>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</si>
  <si>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</si>
  <si>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</si>
  <si>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</si>
  <si>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</si>
  <si>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</si>
  <si>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</si>
  <si>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</si>
  <si>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</si>
  <si>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</si>
  <si>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</si>
  <si>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</si>
  <si>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</si>
  <si>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</si>
  <si>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</si>
  <si>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</si>
  <si>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</si>
  <si>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</si>
  <si>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</si>
  <si>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</si>
  <si>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</si>
  <si>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</si>
  <si>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</si>
  <si>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</si>
  <si>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</si>
  <si>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</si>
  <si>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</si>
  <si>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</si>
  <si>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</si>
  <si>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</si>
  <si>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</si>
  <si>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</si>
  <si>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</si>
  <si>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</si>
  <si>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</si>
  <si>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</si>
  <si>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</si>
  <si>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</si>
  <si>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</si>
  <si>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</si>
  <si>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</si>
  <si>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</si>
  <si>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</si>
  <si>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</si>
  <si>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</si>
  <si>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</si>
  <si>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</si>
  <si>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</si>
  <si>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</si>
  <si>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</si>
  <si>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</si>
  <si>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</si>
  <si>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</si>
  <si>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</si>
  <si>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</si>
  <si>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</si>
  <si>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</si>
  <si>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</si>
  <si>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</si>
  <si>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</si>
  <si>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</si>
  <si>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</si>
  <si>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</si>
  <si>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</si>
  <si>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</si>
  <si>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</si>
  <si>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</si>
  <si>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</si>
  <si>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</si>
  <si>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</si>
  <si>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</si>
  <si>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</si>
  <si>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</si>
  <si>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</si>
  <si>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</si>
  <si>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</si>
  <si>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</si>
  <si>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</si>
  <si>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</si>
  <si>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</si>
  <si>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</si>
  <si>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</si>
  <si>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</si>
  <si>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</si>
  <si>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</si>
  <si>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</si>
  <si>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</si>
  <si>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</si>
  <si>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</si>
  <si>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</si>
  <si>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</si>
  <si>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</si>
  <si>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</si>
  <si>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</si>
  <si>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</si>
  <si>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</si>
  <si>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</si>
  <si>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</si>
  <si>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</si>
  <si>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</si>
  <si>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</si>
  <si>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</si>
  <si>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</si>
  <si>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</si>
  <si>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</si>
  <si>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</si>
  <si>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</si>
  <si>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</si>
  <si>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</si>
  <si>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</si>
  <si>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</si>
  <si>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</si>
  <si>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</si>
  <si>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</si>
  <si>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</si>
  <si>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</si>
  <si>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</si>
  <si>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</si>
  <si>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</si>
  <si>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</si>
  <si>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</si>
  <si>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</si>
  <si>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</si>
  <si>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</si>
  <si>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</si>
  <si>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</si>
  <si>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</si>
  <si>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</si>
  <si>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</si>
  <si>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</si>
  <si>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</si>
  <si>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</si>
  <si>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</si>
  <si>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</si>
  <si>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</si>
  <si>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</si>
  <si>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</si>
  <si>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</si>
  <si>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</si>
  <si>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</si>
  <si>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</si>
  <si>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</si>
  <si>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</si>
  <si>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</si>
  <si>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</si>
  <si>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</si>
  <si>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</si>
  <si>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</si>
  <si>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</si>
  <si>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</si>
  <si>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</si>
  <si>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</si>
  <si>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</si>
  <si>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</si>
  <si>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</si>
  <si>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</si>
  <si>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</si>
  <si>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</si>
  <si>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</si>
  <si>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</si>
  <si>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</si>
  <si>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</si>
  <si>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</si>
  <si>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</si>
  <si>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</si>
  <si>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</si>
  <si>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</si>
  <si>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</si>
  <si>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</si>
  <si>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</si>
  <si>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</si>
  <si>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</si>
  <si>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</si>
  <si>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</si>
  <si>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</si>
  <si>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</si>
  <si>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</si>
  <si>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</si>
  <si>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</si>
  <si>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</si>
  <si>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</si>
  <si>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</si>
  <si>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</si>
  <si>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</si>
  <si>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</si>
  <si>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</si>
  <si>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</si>
  <si>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</si>
  <si>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</si>
  <si>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</si>
  <si>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</si>
  <si>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</si>
  <si>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</si>
  <si>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</si>
  <si>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</si>
  <si>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</si>
  <si>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</si>
  <si>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</si>
  <si>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</si>
  <si>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</si>
  <si>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</si>
  <si>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</si>
  <si>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</si>
  <si>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</si>
  <si>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</si>
  <si>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</si>
  <si>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</si>
  <si>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</si>
  <si>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</si>
  <si>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</si>
  <si>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</si>
  <si>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</si>
  <si>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</si>
  <si>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</si>
  <si>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</si>
  <si>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</si>
  <si>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</si>
  <si>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</si>
  <si>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</si>
  <si>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</si>
  <si>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</si>
  <si>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</si>
  <si>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</si>
  <si>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</si>
  <si>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</si>
  <si>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</si>
  <si>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</si>
  <si>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</si>
  <si>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</si>
  <si>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</si>
  <si>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</si>
  <si>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</si>
  <si>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</si>
  <si>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</si>
  <si>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</si>
  <si>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</si>
  <si>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</si>
  <si>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</si>
  <si>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</si>
  <si>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</si>
  <si>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</si>
  <si>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</si>
  <si>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</si>
  <si>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</si>
  <si>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</si>
  <si>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</si>
  <si>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</si>
  <si>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</si>
  <si>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</si>
  <si>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</si>
  <si>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</si>
  <si>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</si>
  <si>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</si>
  <si>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</si>
  <si>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</si>
  <si>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</si>
  <si>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</si>
  <si>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</si>
  <si>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</si>
  <si>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</si>
  <si>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</si>
  <si>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</si>
  <si>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</si>
  <si>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</si>
  <si>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</si>
  <si>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</si>
  <si>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</si>
  <si>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</si>
  <si>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</si>
  <si>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</si>
  <si>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</si>
  <si>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</si>
  <si>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</si>
  <si>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</si>
  <si>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</si>
  <si>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</si>
  <si>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</si>
  <si>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</si>
  <si>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</si>
  <si>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</si>
  <si>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</si>
  <si>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</si>
  <si>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</si>
  <si>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</si>
  <si>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</si>
  <si>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</si>
  <si>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</si>
  <si>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</si>
  <si>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</si>
  <si>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</si>
  <si>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</si>
  <si>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</si>
  <si>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</si>
  <si>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</si>
  <si>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</si>
  <si>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</si>
  <si>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</si>
  <si>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</si>
  <si>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</si>
  <si>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</si>
  <si>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</si>
  <si>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</si>
  <si>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</si>
  <si>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</si>
  <si>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</si>
  <si>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</si>
  <si>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</si>
  <si>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</si>
  <si>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</si>
  <si>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</si>
  <si>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</si>
  <si>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</si>
  <si>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</si>
  <si>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</si>
  <si>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</si>
  <si>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</si>
  <si>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</si>
  <si>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</si>
  <si>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</si>
  <si>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</si>
  <si>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</si>
  <si>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</si>
  <si>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</si>
  <si>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</si>
  <si>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</si>
  <si>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</si>
  <si>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</si>
  <si>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</si>
  <si>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</si>
  <si>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</si>
  <si>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</si>
  <si>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</si>
  <si>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</si>
  <si>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</si>
  <si>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</si>
  <si>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</si>
  <si>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</si>
  <si>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</si>
  <si>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</si>
  <si>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</si>
  <si>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</si>
  <si>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</si>
  <si>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</si>
  <si>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</si>
  <si>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</si>
  <si>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</si>
  <si>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</si>
  <si>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</si>
  <si>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</si>
  <si>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</si>
  <si>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</si>
  <si>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</si>
  <si>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</si>
  <si>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</si>
  <si>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</si>
  <si>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</si>
  <si>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</si>
  <si>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</si>
  <si>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</si>
  <si>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</si>
  <si>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</si>
  <si>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</si>
  <si>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</si>
  <si>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</si>
  <si>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</si>
  <si>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</si>
  <si>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</si>
  <si>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</si>
  <si>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</si>
  <si>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</si>
  <si>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</si>
  <si>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</si>
  <si>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</si>
  <si>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</si>
  <si>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</si>
  <si>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</si>
  <si>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</si>
  <si>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</si>
  <si>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</si>
  <si>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</si>
  <si>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</si>
  <si>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</si>
  <si>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</si>
  <si>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</si>
  <si>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</si>
  <si>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</si>
  <si>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</si>
  <si>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</si>
  <si>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</si>
  <si>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</si>
  <si>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</si>
  <si>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</si>
  <si>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</si>
  <si>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</si>
  <si>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</si>
  <si>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</si>
  <si>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</si>
  <si>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</si>
  <si>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</si>
  <si>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</si>
  <si>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</si>
  <si>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</si>
  <si>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</si>
  <si>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</si>
  <si>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</si>
  <si>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</si>
  <si>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</si>
  <si>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</si>
  <si>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</si>
  <si>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</si>
  <si>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</si>
  <si>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</si>
  <si>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</si>
  <si>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</si>
  <si>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</si>
  <si>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</si>
  <si>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</si>
  <si>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</si>
  <si>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</si>
  <si>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</si>
  <si>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</si>
  <si>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</si>
  <si>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</si>
  <si>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</si>
  <si>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</si>
  <si>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</si>
  <si>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</si>
  <si>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</si>
  <si>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</si>
  <si>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</si>
  <si>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</si>
  <si>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</si>
  <si>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</si>
  <si>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</si>
  <si>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</si>
  <si>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</si>
  <si>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</si>
  <si>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</si>
  <si>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</si>
  <si>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</si>
  <si>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</si>
  <si>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</si>
  <si>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</si>
  <si>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</si>
  <si>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</si>
  <si>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</si>
  <si>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</si>
  <si>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</si>
  <si>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</si>
  <si>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</si>
  <si>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</si>
  <si>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</si>
  <si>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</si>
  <si>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</si>
  <si>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</si>
  <si>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</si>
  <si>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</si>
  <si>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</si>
  <si>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</si>
  <si>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</si>
  <si>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</si>
  <si>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</si>
  <si>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</si>
  <si>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</si>
  <si>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</si>
  <si>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</si>
  <si>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</si>
  <si>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</si>
  <si>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</si>
  <si>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</si>
  <si>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</si>
  <si>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</si>
  <si>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</si>
  <si>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</si>
  <si>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</si>
  <si>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</si>
  <si>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</si>
  <si>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</si>
  <si>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</si>
  <si>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</si>
  <si>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</si>
  <si>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</si>
  <si>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</si>
  <si>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</si>
  <si>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</si>
  <si>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</si>
  <si>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</si>
  <si>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</si>
  <si>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</si>
  <si>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</si>
  <si>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</si>
  <si>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</si>
  <si>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</si>
  <si>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</si>
  <si>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</si>
  <si>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</si>
  <si>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</si>
  <si>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</si>
  <si>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</si>
  <si>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</si>
  <si>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</si>
  <si>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</si>
  <si>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</si>
  <si>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</si>
  <si>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</si>
  <si>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</si>
  <si>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</si>
  <si>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</si>
  <si>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</si>
  <si>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</si>
  <si>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</si>
  <si>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</si>
  <si>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</si>
  <si>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</si>
  <si>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</si>
  <si>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</si>
  <si>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</si>
  <si>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</si>
  <si>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</si>
  <si>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</si>
  <si>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</si>
  <si>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</si>
  <si>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</si>
  <si>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</si>
  <si>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</si>
  <si>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</si>
  <si>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</si>
  <si>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</si>
  <si>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</si>
  <si>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</si>
  <si>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</si>
  <si>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</si>
  <si>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</si>
  <si>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</si>
  <si>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</si>
  <si>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</si>
  <si>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</si>
  <si>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</si>
  <si>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</si>
  <si>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</si>
  <si>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</si>
  <si>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</si>
  <si>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</si>
  <si>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</si>
  <si>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</si>
  <si>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</si>
  <si>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</si>
  <si>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</si>
  <si>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</si>
  <si>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</si>
  <si>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</si>
  <si>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</si>
  <si>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</si>
  <si>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</si>
  <si>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</si>
  <si>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</si>
  <si>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</si>
  <si>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</si>
  <si>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</si>
  <si>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</si>
  <si>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</si>
  <si>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</si>
  <si>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</si>
  <si>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</si>
  <si>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</si>
  <si>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</si>
  <si>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</si>
  <si>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</si>
  <si>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</si>
  <si>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</si>
  <si>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</si>
  <si>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</si>
  <si>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</si>
  <si>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</si>
  <si>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</si>
  <si>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</si>
  <si>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</si>
  <si>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</si>
  <si>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</si>
  <si>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</si>
  <si>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</si>
  <si>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</si>
  <si>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</si>
  <si>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</si>
  <si>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</si>
  <si>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</si>
  <si>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</si>
  <si>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</si>
  <si>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</si>
  <si>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</si>
  <si>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</si>
  <si>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</si>
  <si>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</si>
  <si>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</si>
  <si>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</si>
  <si>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</si>
  <si>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</si>
  <si>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</si>
  <si>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</si>
  <si>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</si>
  <si>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</si>
  <si>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</si>
  <si>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</si>
  <si>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</si>
  <si>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</si>
  <si>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</si>
  <si>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</si>
  <si>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</si>
  <si>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</si>
  <si>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</si>
  <si>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</si>
  <si>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</si>
  <si>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</si>
  <si>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</si>
  <si>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</si>
  <si>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</si>
  <si>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</si>
  <si>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</si>
  <si>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</si>
  <si>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</si>
  <si>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</si>
  <si>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</si>
  <si>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</si>
  <si>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</si>
  <si>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</si>
  <si>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</si>
  <si>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</si>
  <si>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</si>
  <si>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</si>
  <si>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</si>
  <si>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</si>
  <si>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</si>
  <si>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</si>
  <si>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</si>
  <si>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</si>
  <si>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</si>
  <si>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</si>
  <si>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</si>
  <si>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</si>
  <si>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</si>
  <si>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</si>
  <si>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</si>
  <si>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</si>
  <si>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</si>
  <si>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</si>
  <si>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</si>
  <si>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</si>
  <si>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</si>
  <si>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</si>
  <si>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</si>
  <si>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</si>
  <si>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</si>
  <si>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</si>
  <si>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</si>
  <si>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</si>
  <si>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</si>
  <si>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</si>
  <si>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</si>
  <si>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</si>
  <si>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</si>
  <si>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</si>
  <si>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</si>
  <si>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</si>
  <si>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</si>
  <si>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</si>
  <si>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</si>
  <si>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</si>
  <si>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</si>
  <si>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</si>
  <si>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</si>
  <si>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</si>
  <si>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</si>
  <si>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</si>
  <si>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</si>
  <si>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</si>
  <si>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</si>
  <si>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</si>
  <si>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</si>
  <si>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</si>
  <si>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</si>
  <si>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</si>
  <si>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</si>
  <si>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</si>
  <si>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</si>
  <si>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</si>
  <si>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</si>
  <si>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</si>
  <si>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</si>
  <si>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</si>
  <si>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</si>
  <si>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</si>
  <si>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</si>
  <si>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</si>
  <si>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</si>
  <si>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</si>
  <si>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</si>
  <si>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</si>
  <si>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</si>
  <si>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</si>
  <si>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</si>
  <si>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</si>
  <si>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</si>
  <si>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</si>
  <si>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</si>
  <si>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</si>
  <si>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</si>
  <si>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</si>
  <si>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</si>
  <si>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</si>
  <si>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</si>
  <si>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</si>
  <si>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</si>
  <si>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</si>
  <si>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</si>
  <si>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</si>
  <si>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</si>
  <si>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</si>
  <si>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</si>
  <si>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</si>
  <si>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</si>
  <si>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</si>
  <si>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</si>
  <si>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</si>
  <si>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</si>
  <si>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</si>
  <si>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</si>
  <si>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</si>
  <si>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</si>
  <si>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</si>
  <si>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</si>
  <si>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</si>
  <si>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</si>
  <si>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</si>
  <si>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</si>
  <si>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</si>
  <si>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</si>
  <si>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</si>
  <si>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</si>
  <si>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</si>
  <si>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</si>
  <si>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</si>
  <si>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</si>
  <si>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</si>
  <si>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</si>
  <si>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</si>
  <si>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</si>
  <si>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</si>
  <si>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</si>
  <si>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</si>
  <si>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</si>
  <si>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</si>
  <si>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</si>
  <si>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</si>
  <si>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</si>
  <si>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</si>
  <si>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</si>
  <si>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</si>
  <si>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</si>
  <si>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</si>
  <si>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</si>
  <si>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</si>
  <si>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</si>
  <si>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</si>
  <si>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</si>
  <si>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</si>
  <si>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</si>
  <si>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</si>
  <si>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</si>
  <si>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</si>
  <si>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</si>
  <si>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</si>
  <si>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</si>
  <si>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</si>
  <si>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</si>
  <si>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</si>
  <si>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</si>
  <si>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</si>
  <si>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</si>
  <si>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</si>
  <si>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</si>
  <si>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</si>
  <si>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</si>
  <si>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</si>
  <si>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</si>
  <si>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</si>
  <si>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</si>
  <si>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</si>
  <si>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</si>
  <si>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</si>
  <si>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</si>
  <si>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</si>
  <si>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</si>
  <si>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</si>
  <si>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</si>
  <si>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</si>
  <si>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</si>
  <si>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</si>
  <si>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</si>
  <si>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</si>
  <si>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</si>
  <si>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</si>
  <si>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</si>
  <si>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</si>
  <si>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</si>
  <si>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</si>
  <si>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</si>
  <si>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</si>
  <si>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</si>
  <si>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</si>
  <si>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</si>
  <si>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</si>
  <si>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</si>
  <si>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</si>
  <si>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</si>
  <si>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</si>
  <si>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</si>
  <si>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</si>
  <si>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</si>
  <si>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</si>
  <si>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</si>
  <si>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</si>
  <si>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</si>
  <si>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</si>
  <si>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</si>
  <si>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</si>
  <si>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</si>
  <si>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</si>
  <si>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</si>
  <si>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</si>
  <si>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</si>
  <si>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</si>
  <si>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</si>
  <si>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</si>
  <si>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</si>
  <si>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</si>
  <si>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</si>
  <si>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</si>
  <si>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</si>
  <si>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</si>
  <si>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</si>
  <si>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</si>
  <si>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</si>
  <si>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</si>
  <si>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</si>
  <si>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</si>
  <si>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</si>
  <si>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</si>
  <si>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</si>
  <si>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</si>
  <si>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</si>
  <si>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</si>
  <si>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</si>
  <si>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</si>
  <si>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</si>
  <si>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</si>
  <si>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</si>
  <si>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</si>
  <si>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</si>
  <si>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</si>
  <si>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</si>
  <si>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</si>
  <si>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</si>
  <si>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</si>
  <si>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</si>
  <si>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</si>
  <si>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</si>
  <si>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</si>
  <si>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</si>
  <si>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</si>
  <si>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</si>
  <si>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</si>
  <si>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</si>
  <si>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</si>
  <si>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</si>
  <si>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</si>
  <si>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</si>
  <si>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</si>
  <si>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</si>
  <si>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</si>
  <si>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</si>
  <si>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</si>
  <si>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</si>
  <si>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</si>
  <si>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</si>
  <si>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</si>
  <si>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</si>
  <si>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</si>
  <si>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</si>
  <si>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</si>
  <si>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</si>
  <si>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</si>
  <si>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</si>
  <si>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</si>
  <si>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</si>
  <si>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</si>
  <si>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</si>
  <si>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</si>
  <si>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</si>
  <si>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</si>
  <si>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</si>
  <si>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</si>
  <si>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</si>
  <si>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</si>
  <si>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</si>
  <si>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</si>
  <si>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</si>
  <si>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</si>
  <si>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</si>
  <si>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</si>
  <si>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</si>
  <si>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</si>
  <si>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</si>
  <si>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</si>
  <si>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</si>
  <si>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</si>
  <si>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</si>
  <si>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</si>
  <si>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</si>
  <si>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</si>
  <si>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</si>
  <si>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</si>
  <si>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</si>
  <si>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</si>
  <si>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</si>
  <si>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</si>
  <si>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</si>
  <si>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</si>
  <si>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</si>
  <si>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</si>
  <si>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</si>
  <si>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</si>
  <si>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</si>
  <si>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</si>
  <si>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</si>
  <si>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</si>
  <si>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</si>
  <si>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</si>
  <si>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</si>
  <si>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</si>
  <si>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</si>
  <si>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</si>
  <si>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</si>
  <si>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</si>
  <si>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</si>
  <si>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</si>
  <si>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</si>
  <si>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</si>
  <si>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</si>
  <si>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</si>
  <si>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</si>
  <si>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</si>
  <si>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</si>
  <si>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</si>
  <si>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</si>
  <si>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</si>
  <si>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</si>
  <si>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</si>
  <si>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</si>
  <si>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</si>
  <si>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</si>
  <si>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</si>
  <si>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</si>
  <si>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</si>
  <si>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</si>
  <si>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</si>
  <si>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</si>
  <si>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</si>
  <si>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</si>
  <si>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</si>
  <si>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</si>
  <si>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</si>
  <si>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</si>
  <si>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</si>
  <si>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</si>
  <si>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</si>
  <si>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</si>
  <si>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</si>
  <si>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</si>
  <si>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</si>
  <si>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</si>
  <si>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</si>
  <si>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</si>
  <si>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</si>
  <si>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</si>
  <si>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</si>
  <si>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</si>
  <si>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</si>
  <si>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</si>
  <si>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</si>
  <si>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</si>
  <si>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</si>
  <si>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</si>
  <si>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</si>
  <si>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</si>
  <si>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</si>
  <si>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</si>
  <si>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N/A</t>
  </si>
  <si>
    <t xml:space="preserve">KPI's </t>
  </si>
  <si>
    <t>Total Revenue</t>
  </si>
  <si>
    <t>Average Order Value (AOV)</t>
  </si>
  <si>
    <t>Return Rate (%)</t>
  </si>
  <si>
    <t>Average Discount (%)</t>
  </si>
  <si>
    <t>Average Shipping Cost</t>
  </si>
  <si>
    <t>Average Delivery Days</t>
  </si>
  <si>
    <t>Net Revenue</t>
  </si>
  <si>
    <t>Business Analysis Questions</t>
  </si>
  <si>
    <t>Which Region generates the more revenue?</t>
  </si>
  <si>
    <t>Which product category is most profitable?</t>
  </si>
  <si>
    <t>What is the trend of sales over time (Monthly/Quaterly)?</t>
  </si>
  <si>
    <t>Which region has the highest return rate?</t>
  </si>
  <si>
    <t>Which payment method is most popular?</t>
  </si>
  <si>
    <t>Which promotion drives the most sales, and does it increase returns?</t>
  </si>
  <si>
    <t>What are the top Sales people by revenue?</t>
  </si>
  <si>
    <t>How do shipping cost vary by region/product?</t>
  </si>
  <si>
    <t>TotalRevenue</t>
  </si>
  <si>
    <t>NetRevenueCost</t>
  </si>
  <si>
    <t>AverageOrderValue</t>
  </si>
  <si>
    <t>AverageDiscount</t>
  </si>
  <si>
    <t>AverageShippingCost</t>
  </si>
  <si>
    <t>ReturnRate</t>
  </si>
  <si>
    <t>AverageDeliveryDays</t>
  </si>
  <si>
    <t>Row Labels</t>
  </si>
  <si>
    <t>Grand Total</t>
  </si>
  <si>
    <t>Sum of TotalPrice</t>
  </si>
  <si>
    <t>Qtr1</t>
  </si>
  <si>
    <t>Jan</t>
  </si>
  <si>
    <t>Feb</t>
  </si>
  <si>
    <t>Mar</t>
  </si>
  <si>
    <t>Qtr2</t>
  </si>
  <si>
    <t>Apr</t>
  </si>
  <si>
    <t>May</t>
  </si>
  <si>
    <t>Jun</t>
  </si>
  <si>
    <t>Qtr3</t>
  </si>
  <si>
    <t>Jul</t>
  </si>
  <si>
    <t>Aug</t>
  </si>
  <si>
    <t>Sep</t>
  </si>
  <si>
    <t>Qtr4</t>
  </si>
  <si>
    <t>Oct</t>
  </si>
  <si>
    <t>Nov</t>
  </si>
  <si>
    <t>Dec</t>
  </si>
  <si>
    <t>Count of PaymentMethod</t>
  </si>
  <si>
    <t>Sum of Returned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</si>
</sst>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yyyy\-mm\-dd"/>
    <numFmt numFmtId="165" formatCode="\$#,##0.00;\(\$#,##0.00\);\$#,##0.00"/>
    <numFmt numFmtId="166" formatCode="0.00%;\-0.00%;0.00%"/>
    <numFmt numFmtId="167" formatCode="_-[$$-409]* #,##0.00_ ;_-[$$-409]* \-#,##0.00\ ;_-[$$-409]* &quot;-&quot;??_ ;_-@_ "/>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Cambria"/>
      <family val="1"/>
      <scheme val="major"/>
    </font>
    <font>
      <b/>
      <sz val="14"/>
      <color theme="1"/>
      <name val="Cambria"/>
      <family val="1"/>
      <scheme val="major"/>
    </font>
    <font>
      <sz val="10"/>
      <color theme="1"/>
      <name val="Cambria"/>
      <family val="1"/>
      <scheme val="maj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6" tint="0.59999389629810485"/>
        <bgColor indexed="64"/>
      </patternFill>
    </fill>
    <fill>
      <patternFill patternType="solid">
        <fgColor theme="6" tint="-0.249977111117893"/>
        <bgColor indexed="64"/>
      </patternFill>
    </fill>
  </fills>
  <borders count="7">
    <border>
      <left/>
      <right/>
      <top/>
      <bottom/>
      <diagonal/>
    </border>
    <border>
      <left style="thin">
        <color auto="1"/>
      </left>
      <right style="thin">
        <color auto="1"/>
      </right>
      <top/>
      <bottom style="thin">
        <color auto="1"/>
      </bottom>
      <diagonal/>
    </border>
    <border>
      <left style="thin">
        <color indexed="65"/>
      </left>
      <right/>
      <top style="thin">
        <color indexed="65"/>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top/>
      <bottom style="thin">
        <color theme="4" tint="0.3999755851924192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3">
    <xf numFmtId="0" fontId="0" fillId="0" borderId="0" xfId="0"/>
    <xf numFmtId="164" fontId="0" fillId="0" borderId="0" xfId="0" applyNumberFormat="1"/>
    <xf numFmtId="0" fontId="1" fillId="0" borderId="1" xfId="0" applyFont="1" applyBorder="1" applyAlignment="1">
      <alignment horizontal="center" vertical="top"/>
    </xf>
    <xf numFmtId="0" fontId="0" fillId="0" borderId="2" xfId="0" applyBorder="1"/>
    <xf numFmtId="0" fontId="4" fillId="4"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0" borderId="0" xfId="0" applyFont="1"/>
    <xf numFmtId="0" fontId="3" fillId="3" borderId="4" xfId="0" applyFont="1" applyFill="1" applyBorder="1"/>
    <xf numFmtId="0" fontId="3" fillId="3" borderId="4" xfId="0" applyFont="1" applyFill="1" applyBorder="1" applyAlignment="1">
      <alignment wrapText="1"/>
    </xf>
    <xf numFmtId="0" fontId="3" fillId="3" borderId="5" xfId="0" applyFont="1" applyFill="1" applyBorder="1"/>
    <xf numFmtId="165" fontId="0" fillId="0" borderId="0" xfId="0" applyNumberFormat="1"/>
    <xf numFmtId="0" fontId="1" fillId="2" borderId="6" xfId="0" applyFont="1" applyFill="1" applyBorder="1"/>
    <xf numFmtId="166" fontId="0" fillId="0" borderId="0" xfId="0" applyNumberFormat="1"/>
    <xf numFmtId="1" fontId="0" fillId="0" borderId="0" xfId="0" applyNumberFormat="1"/>
    <xf numFmtId="167" fontId="0" fillId="0" borderId="0" xfId="0" applyNumberFormat="1"/>
    <xf numFmtId="167" fontId="0" fillId="0" borderId="0" xfId="1" applyNumberFormat="1" applyFont="1"/>
    <xf numFmtId="10" fontId="0" fillId="0" borderId="0" xfId="2"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7" fontId="5" fillId="0" borderId="0" xfId="0" applyNumberFormat="1" applyFont="1" applyAlignment="1">
      <alignment vertical="center"/>
    </xf>
    <xf numFmtId="0" fontId="0" fillId="0" borderId="0" xfId="0" applyNumberFormat="1"/>
  </cellXfs>
  <cellStyles count="3">
    <cellStyle name="Currency" xfId="1" builtinId="4"/>
    <cellStyle name="Normal" xfId="0" builtinId="0"/>
    <cellStyle name="Percent" xfId="2" builtinId="5"/>
  </cellStyles>
  <dxfs count="8">
    <dxf>
      <numFmt numFmtId="167" formatCode="_-[$$-409]* #,##0.00_ ;_-[$$-409]* \-#,##0.00\ ;_-[$$-409]* &quot;-&quot;??_ ;_-@_ "/>
    </dxf>
    <dxf>
      <alignment horizontal="left" vertical="bottom" textRotation="0" wrapText="0" indent="0" justifyLastLine="0" shrinkToFit="0" readingOrder="0"/>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haredStrings" Target="sharedString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styles" Target="styles.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[Product_Sales_Region_Project.xlsx]Power_Pivot_Table!PivotTable1</c:name>
    <c:fmtId val="36"/>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t>REVENUE</a:t>
            </a:r>
            <a:r>
              <a:rPr lang="en-IN" baseline="0"/>
              <a:t> BY REGION</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Power_Pivot_Table!$C$15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Power_Pivot_Table!$B$16:$B$21</c:f>
              <c:strCache>
                <c:ptCount val="5"/>
                <c:pt idx="0">
                  <c:v>Central</c:v>
                </c:pt>
                <c:pt idx="1">
                  <c:v>East</c:v>
                </c:pt>
                <c:pt idx="2">
                  <c:v>North</c:v>
                </c:pt>
                <c:pt idx="3">
                  <c:v>South</c:v>
                </c:pt>
                <c:pt idx="4">
                  <c:v>West</c:v>
                </c:pt>
              </c:strCache>
            </c:strRef>
          </c:cat>
          <c:val>
            <c:numRef>
              <c:f>Power_Pivot_Table!$C$16:$C$21</c:f>
              <c:numCache>
                <c:formatCode>\$#,##0.00;\(\$#,##0.00\);\$#,##0.00</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5-06E8-43EE-90D6-0C3310E19BE0}"/>
            </c:ext>
          </c:extLst>
        </c:ser>
        <c:dLbls>
          <c:showLegendKey val="0"/>
          <c:showVal val="0"/>
          <c:showCatName val="0"/>
          <c:showSerName val="0"/>
          <c:showPercent val="0"/>
          <c:showBubbleSize val="0"/>
        </c:dLbls>
        <c:gapWidth val="100"/>
        <c:overlap val="-24"/>
        <c:axId val="1959827775"/>
        <c:axId val="1959828255"/>
      </c:barChart>
      <c:catAx>
        <c:axId val="1959827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9828255"/>
        <c:crosses val="autoZero"/>
        <c:auto val="1"/>
        <c:lblAlgn val="ctr"/>
        <c:lblOffset val="100"/>
        <c:noMultiLvlLbl val="0"/>
      </c:catAx>
      <c:valAx>
        <c:axId val="1959828255"/>
        <c:scaling>
          <c:orientation val="minMax"/>
        </c:scaling>
        <c:delete val="0"/>
        <c:axPos val="l"/>
        <c:majorGridlines>
          <c:spPr>
            <a:ln w="9525" cap="flat" cmpd="sng" algn="ctr">
              <a:solidFill>
                <a:schemeClr val="bg1"/>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982777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[Product_Sales_Region_Project.xlsx]Power_Pivot_Table!PivotTable10</c:name>
    <c:fmtId val="104"/>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SALES BY MONTHLY/QUATERLY</a:t>
            </a:r>
          </a:p>
        </c:rich>
      </c:tx>
      <c:overlay val="0"/>
      <c:spPr>
        <a:noFill/>
        <a:ln>
          <a:noFill/>
        </a:ln>
        <a:effectLst/>
      </c:spPr>
    </c:title>
    <c:autoTitleDeleted val="0"/>
    <c:pivotFmts>
      <c:pivotFmt>
        <c:idx val="0"/>
        <c:marker>
          <c:symbol val="circle"/>
          <c:size val="6"/>
        </c:marker>
        <c:dLbl>
          <c:idx val="0"/>
          <c:delete val="1"/>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ln w="34925" cap="rnd">
            <a:solidFill>
              <a:schemeClr val="accent2">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ln w="34925" cap="rnd">
            <a:solidFill>
              <a:schemeClr val="accent3">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ln w="34925" cap="rnd">
            <a:solidFill>
              <a:schemeClr val="accent4">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5">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9525">
              <a:solidFill>
                <a:schemeClr val="accent5">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ln w="34925" cap="rnd">
            <a:solidFill>
              <a:schemeClr val="accent6">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1"/>
        <c:ser>
          <c:idx val="0"/>
          <c:order val="0"/>
          <c:tx>
            <c:strRef>
              <c:f>Power_Pivot_Table!$C$46</c:f>
              <c:strCache>
                <c:ptCount val="1"/>
                <c:pt idx="0">
                  <c:v>Total</c:v>
                </c:pt>
              </c:strCache>
            </c:strRef>
          </c:tx>
          <c:marker>
            <c:symbol val="circle"/>
            <c:size val="6"/>
          </c:marker>
          <c:dPt>
            <c:idx val="0"/>
            <c:bubble3D val="0"/>
            <c:extLst>
              <c:ext xmlns:c16="http://schemas.microsoft.com/office/drawing/2014/chart" uri="{C3380CC4-5D6E-409C-BE32-E72D297353CC}">
                <c16:uniqueId val="{00000001-4F70-4038-8741-679078619CF1}"/>
              </c:ext>
            </c:extLst>
          </c:dPt>
          <c:dPt>
            <c:idx val="1"/>
            <c:bubble3D val="0"/>
            <c:extLst>
              <c:ext xmlns:c16="http://schemas.microsoft.com/office/drawing/2014/chart" uri="{C3380CC4-5D6E-409C-BE32-E72D297353CC}">
                <c16:uniqueId val="{00000003-4F70-4038-8741-679078619CF1}"/>
              </c:ext>
            </c:extLst>
          </c:dPt>
          <c:dPt>
            <c:idx val="2"/>
            <c:bubble3D val="0"/>
            <c:extLst>
              <c:ext xmlns:c16="http://schemas.microsoft.com/office/drawing/2014/chart" uri="{C3380CC4-5D6E-409C-BE32-E72D297353CC}">
                <c16:uniqueId val="{00000005-4F70-4038-8741-679078619CF1}"/>
              </c:ext>
            </c:extLst>
          </c:dPt>
          <c:dPt>
            <c:idx val="3"/>
            <c:bubble3D val="0"/>
            <c:extLst>
              <c:ext xmlns:c16="http://schemas.microsoft.com/office/drawing/2014/chart" uri="{C3380CC4-5D6E-409C-BE32-E72D297353CC}">
                <c16:uniqueId val="{00000007-4F70-4038-8741-679078619CF1}"/>
              </c:ext>
            </c:extLst>
          </c:dPt>
          <c:dPt>
            <c:idx val="4"/>
            <c:bubble3D val="0"/>
            <c:extLst>
              <c:ext xmlns:c16="http://schemas.microsoft.com/office/drawing/2014/chart" uri="{C3380CC4-5D6E-409C-BE32-E72D297353CC}">
                <c16:uniqueId val="{00000009-4F70-4038-8741-679078619CF1}"/>
              </c:ext>
            </c:extLst>
          </c:dPt>
          <c:dPt>
            <c:idx val="5"/>
            <c:bubble3D val="0"/>
            <c:extLst>
              <c:ext xmlns:c16="http://schemas.microsoft.com/office/drawing/2014/chart" uri="{C3380CC4-5D6E-409C-BE32-E72D297353CC}">
                <c16:uniqueId val="{0000000B-4F70-4038-8741-679078619CF1}"/>
              </c:ext>
            </c:extLst>
          </c:dPt>
          <c:dPt>
            <c:idx val="6"/>
            <c:bubble3D val="0"/>
            <c:extLst>
              <c:ext xmlns:c16="http://schemas.microsoft.com/office/drawing/2014/chart" uri="{C3380CC4-5D6E-409C-BE32-E72D297353CC}">
                <c16:uniqueId val="{0000000D-4F70-4038-8741-679078619CF1}"/>
              </c:ext>
            </c:extLst>
          </c:dPt>
          <c:dPt>
            <c:idx val="7"/>
            <c:bubble3D val="0"/>
            <c:extLst>
              <c:ext xmlns:c16="http://schemas.microsoft.com/office/drawing/2014/chart" uri="{C3380CC4-5D6E-409C-BE32-E72D297353CC}">
                <c16:uniqueId val="{0000000F-4F70-4038-8741-679078619CF1}"/>
              </c:ext>
            </c:extLst>
          </c:dPt>
          <c:dPt>
            <c:idx val="8"/>
            <c:bubble3D val="0"/>
            <c:extLst>
              <c:ext xmlns:c16="http://schemas.microsoft.com/office/drawing/2014/chart" uri="{C3380CC4-5D6E-409C-BE32-E72D297353CC}">
                <c16:uniqueId val="{00000011-4F70-4038-8741-679078619CF1}"/>
              </c:ext>
            </c:extLst>
          </c:dPt>
          <c:dPt>
            <c:idx val="9"/>
            <c:bubble3D val="0"/>
            <c:extLst>
              <c:ext xmlns:c16="http://schemas.microsoft.com/office/drawing/2014/chart" uri="{C3380CC4-5D6E-409C-BE32-E72D297353CC}">
                <c16:uniqueId val="{00000013-4F70-4038-8741-679078619CF1}"/>
              </c:ext>
            </c:extLst>
          </c:dPt>
          <c:dPt>
            <c:idx val="10"/>
            <c:bubble3D val="0"/>
            <c:extLst>
              <c:ext xmlns:c16="http://schemas.microsoft.com/office/drawing/2014/chart" uri="{C3380CC4-5D6E-409C-BE32-E72D297353CC}">
                <c16:uniqueId val="{00000015-4F70-4038-8741-679078619CF1}"/>
              </c:ext>
            </c:extLst>
          </c:dPt>
          <c:dPt>
            <c:idx val="11"/>
            <c:bubble3D val="0"/>
            <c:extLst>
              <c:ext xmlns:c16="http://schemas.microsoft.com/office/drawing/2014/chart" uri="{C3380CC4-5D6E-409C-BE32-E72D297353CC}">
                <c16:uniqueId val="{00000017-4F70-4038-8741-679078619CF1}"/>
              </c:ext>
            </c:extLst>
          </c:dPt>
          <c:cat>
            <c:multiLvlStrRef>
              <c:f>Power_Pivot_Table!$B$47:$B$63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Power_Pivot_Table!$C$47:$C$63</c:f>
              <c:numCache>
                <c:formatCode>\$#,##0.00;\(\$#,##0.00\);\$#,##0.00</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2-26FE-4666-924B-0D44AE868426}"/>
            </c:ext>
          </c:extLst>
        </c:ser>
        <c:dLbls>
          <c:showLegendKey val="0"/>
          <c:showVal val="0"/>
          <c:showCatName val="0"/>
          <c:showSerName val="0"/>
          <c:showPercent val="0"/>
          <c:showBubbleSize val="0"/>
        </c:dLbls>
        <c:marker val="1"/>
        <c:smooth val="0"/>
        <c:axId val="1762992063"/>
        <c:axId val="1762982463"/>
      </c:lineChart>
      <c:catAx>
        <c:axId val="1762992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982463"/>
        <c:crosses val="autoZero"/>
        <c:auto val="1"/>
        <c:lblAlgn val="ctr"/>
        <c:lblOffset val="100"/>
        <c:noMultiLvlLbl val="0"/>
      </c:catAx>
      <c:valAx>
        <c:axId val="176298246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99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[Product_Sales_Region_Project.xlsx]Power_Pivot_Table!PivotTable11</c:name>
    <c:fmtId val="99"/>
  </c:pivotSource>
  <c:chart>
    <c:title>
      <c:tx>
        <c:rich>
          <a:bodyPr rot="0" spcFirstLastPara="1" vertOverflow="ellipsis" vert="horz" wrap="square" anchor="ctr" anchorCtr="1"/>
          <a:lstStyle/>
          <a:p>
            <a:pPr>
              <a:defRPr sz="1400" b="1" i="0" u="none" strike="noStrike" kern="1200" cap="all" spc="50" baseline="0">
                <a:solidFill>
                  <a:schemeClr val="tx1"/>
                </a:solidFill>
                <a:latin typeface="+mj-lt"/>
                <a:ea typeface="+mn-ea"/>
                <a:cs typeface="+mn-cs"/>
              </a:defRPr>
            </a:pPr>
            <a:r>
              <a:rPr lang="en-US">
                <a:solidFill>
                  <a:schemeClr val="tx1"/>
                </a:solidFill>
                <a:latin typeface="+mj-lt"/>
              </a:rPr>
              <a:t>mOST POPULAR PAYMENT METHOD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j-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Power_Pivot_Table!$C$66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D85-4C37-981A-12073BBF837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D85-4C37-981A-12073BBF837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D85-4C37-981A-12073BBF837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D85-4C37-981A-12073BBF837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D85-4C37-981A-12073BBF83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Power_Pivot_Table!$B$67:$B$72</c:f>
              <c:strCache>
                <c:ptCount val="5"/>
                <c:pt idx="0">
                  <c:v>Cash</c:v>
                </c:pt>
                <c:pt idx="1">
                  <c:v>Credit Card</c:v>
                </c:pt>
                <c:pt idx="2">
                  <c:v>Debit Card</c:v>
                </c:pt>
                <c:pt idx="3">
                  <c:v>Gift Card</c:v>
                </c:pt>
                <c:pt idx="4">
                  <c:v>Online</c:v>
                </c:pt>
              </c:strCache>
            </c:strRef>
          </c:cat>
          <c:val>
            <c:numRef>
              <c:f>Power_Pivot_Table!$C$67:$C$72</c:f>
              <c:numCache>
                <c:formatCode>General</c:formatCode>
                <c:ptCount val="5"/>
                <c:pt idx="0">
                  <c:v>312</c:v>
                </c:pt>
                <c:pt idx="1">
                  <c:v>299</c:v>
                </c:pt>
                <c:pt idx="2">
                  <c:v>290</c:v>
                </c:pt>
                <c:pt idx="3">
                  <c:v>276</c:v>
                </c:pt>
                <c:pt idx="4">
                  <c:v>323</c:v>
                </c:pt>
              </c:numCache>
            </c:numRef>
          </c:val>
          <c:extLst>
            <c:ext xmlns:c16="http://schemas.microsoft.com/office/drawing/2014/chart" uri="{C3380CC4-5D6E-409C-BE32-E72D297353CC}">
              <c16:uniqueId val="{00000000-3028-4364-B6DA-06A316BF9BE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[Product_Sales_Region_Project.xlsx]Power_Pivot_Table!PivotTable12</c:name>
    <c:fmtId val="106"/>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n-ea"/>
                <a:cs typeface="Arial" panose="020B0604020202020204" pitchFamily="34" charset="0"/>
              </a:defRPr>
            </a:pPr>
            <a:r>
              <a:rPr lang="en-US" sz="1400">
                <a:latin typeface="+mj-lt"/>
              </a:rPr>
              <a:t>RETURN RATE BY REGION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n-ea"/>
              <a:cs typeface="Arial" panose="020B0604020202020204" pitchFamily="34"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Power_Pivot_Table!$C$79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Power_Pivot_Table!$B$80:$B$85</c:f>
              <c:strCache>
                <c:ptCount val="5"/>
                <c:pt idx="0">
                  <c:v>Central</c:v>
                </c:pt>
                <c:pt idx="1">
                  <c:v>East</c:v>
                </c:pt>
                <c:pt idx="2">
                  <c:v>North</c:v>
                </c:pt>
                <c:pt idx="3">
                  <c:v>South</c:v>
                </c:pt>
                <c:pt idx="4">
                  <c:v>West</c:v>
                </c:pt>
              </c:strCache>
            </c:strRef>
          </c:cat>
          <c:val>
            <c:numRef>
              <c:f>Power_Pivot_Table!$C$80:$C$85</c:f>
              <c:numCache>
                <c:formatCode>General</c:formatCode>
                <c:ptCount val="5"/>
                <c:pt idx="0">
                  <c:v>70</c:v>
                </c:pt>
                <c:pt idx="1">
                  <c:v>81</c:v>
                </c:pt>
                <c:pt idx="2">
                  <c:v>70</c:v>
                </c:pt>
                <c:pt idx="3">
                  <c:v>77</c:v>
                </c:pt>
                <c:pt idx="4">
                  <c:v>74</c:v>
                </c:pt>
              </c:numCache>
            </c:numRef>
          </c:val>
          <c:extLst>
            <c:ext xmlns:c16="http://schemas.microsoft.com/office/drawing/2014/chart" uri="{C3380CC4-5D6E-409C-BE32-E72D297353CC}">
              <c16:uniqueId val="{00000000-A3DF-4C36-8B81-56517E8A71EF}"/>
            </c:ext>
          </c:extLst>
        </c:ser>
        <c:dLbls>
          <c:showLegendKey val="0"/>
          <c:showVal val="0"/>
          <c:showCatName val="0"/>
          <c:showSerName val="0"/>
          <c:showPercent val="0"/>
          <c:showBubbleSize val="0"/>
        </c:dLbls>
        <c:gapWidth val="115"/>
        <c:overlap val="-20"/>
        <c:axId val="1738160575"/>
        <c:axId val="1738161055"/>
      </c:barChart>
      <c:catAx>
        <c:axId val="17381605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8161055"/>
        <c:crosses val="autoZero"/>
        <c:auto val="1"/>
        <c:lblAlgn val="ctr"/>
        <c:lblOffset val="100"/>
        <c:noMultiLvlLbl val="0"/>
      </c:catAx>
      <c:valAx>
        <c:axId val="173816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8160575"/>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[Product_Sales_Region_Project.xlsx]Power_Pivot_Table!PivotTable16</c:name>
    <c:fmtId val="1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latin typeface="+mj-lt"/>
              </a:rPr>
              <a:t>REVENUE</a:t>
            </a:r>
            <a:r>
              <a:rPr lang="en-US" sz="1400" baseline="0">
                <a:latin typeface="+mj-lt"/>
              </a:rPr>
              <a:t> BY SALES PERSON</a:t>
            </a:r>
            <a:endParaRPr lang="en-US" sz="1400">
              <a:latin typeface="+mj-l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lumMod val="60000"/>
                  <a:lumOff val="40000"/>
                </a:schemeClr>
              </a:gs>
              <a:gs pos="36000">
                <a:schemeClr val="accent1">
                  <a:lumMod val="45000"/>
                  <a:lumOff val="55000"/>
                </a:schemeClr>
              </a:gs>
              <a:gs pos="49000">
                <a:schemeClr val="accent1">
                  <a:lumMod val="45000"/>
                  <a:lumOff val="55000"/>
                </a:schemeClr>
              </a:gs>
              <a:gs pos="100000">
                <a:schemeClr val="tx2">
                  <a:lumMod val="60000"/>
                  <a:lumOff val="40000"/>
                </a:schemeClr>
              </a:gs>
            </a:gsLst>
            <a:path path="circle">
              <a:fillToRect l="100000" t="100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Power_Pivot_Table!$C$115</c:f>
              <c:strCache>
                <c:ptCount val="1"/>
                <c:pt idx="0">
                  <c:v>Total</c:v>
                </c:pt>
              </c:strCache>
            </c:strRef>
          </c:tx>
          <c:spPr>
            <a:gradFill rotWithShape="1">
              <a:gsLst>
                <a:gs pos="0">
                  <a:schemeClr val="accent3">
                    <a:lumMod val="60000"/>
                    <a:lumOff val="40000"/>
                  </a:schemeClr>
                </a:gs>
                <a:gs pos="36000">
                  <a:schemeClr val="accent1">
                    <a:lumMod val="45000"/>
                    <a:lumOff val="55000"/>
                  </a:schemeClr>
                </a:gs>
                <a:gs pos="49000">
                  <a:schemeClr val="accent1">
                    <a:lumMod val="45000"/>
                    <a:lumOff val="55000"/>
                  </a:schemeClr>
                </a:gs>
                <a:gs pos="100000">
                  <a:schemeClr val="tx2">
                    <a:lumMod val="60000"/>
                    <a:lumOff val="40000"/>
                  </a:schemeClr>
                </a:gs>
              </a:gsLst>
              <a:path path="circle">
                <a:fillToRect l="100000" t="100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Power_Pivot_Table!$B$116:$B$122</c:f>
              <c:strCache>
                <c:ptCount val="6"/>
                <c:pt idx="0">
                  <c:v>Alice</c:v>
                </c:pt>
                <c:pt idx="1">
                  <c:v>Bob</c:v>
                </c:pt>
                <c:pt idx="2">
                  <c:v>Carlos</c:v>
                </c:pt>
                <c:pt idx="3">
                  <c:v>Diana</c:v>
                </c:pt>
                <c:pt idx="4">
                  <c:v>Eva</c:v>
                </c:pt>
                <c:pt idx="5">
                  <c:v>Frank</c:v>
                </c:pt>
              </c:strCache>
            </c:strRef>
          </c:cat>
          <c:val>
            <c:numRef>
              <c:f>Power_Pivot_Table!$C$116:$C$122</c:f>
              <c:numCache>
                <c:formatCode>\$#,##0.00;\(\$#,##0.00\);\$#,##0.00</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952B-4B8B-8A76-8355486D5CA1}"/>
            </c:ext>
          </c:extLst>
        </c:ser>
        <c:dLbls>
          <c:showLegendKey val="0"/>
          <c:showVal val="0"/>
          <c:showCatName val="0"/>
          <c:showSerName val="0"/>
          <c:showPercent val="0"/>
          <c:showBubbleSize val="0"/>
        </c:dLbls>
        <c:gapWidth val="150"/>
        <c:overlap val="100"/>
        <c:axId val="640817600"/>
        <c:axId val="640824320"/>
      </c:barChart>
      <c:catAx>
        <c:axId val="640817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0824320"/>
        <c:crosses val="autoZero"/>
        <c:auto val="1"/>
        <c:lblAlgn val="ctr"/>
        <c:lblOffset val="100"/>
        <c:noMultiLvlLbl val="0"/>
      </c:catAx>
      <c:valAx>
        <c:axId val="64082432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081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RETURNED &amp; REVENUE BY PROMOTION 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tx>
            <c:strRef>
              <c:f>Power_Pivot_Table!$H$97</c:f>
              <c:strCache>
                <c:ptCount val="1"/>
                <c:pt idx="0">
                  <c:v>Sum of TotalPrice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Power_Pivot_Table!$F$98:$F$101</c:f>
              <c:strCache>
                <c:ptCount val="4"/>
                <c:pt idx="0">
                  <c:v>FREESHIP</c:v>
                </c:pt>
                <c:pt idx="1">
                  <c:v>N/A</c:v>
                </c:pt>
                <c:pt idx="2">
                  <c:v>SAVE10</c:v>
                </c:pt>
                <c:pt idx="3">
                  <c:v>WINTER15</c:v>
                </c:pt>
              </c:strCache>
            </c:strRef>
          </c:xVal>
          <c:yVal>
            <c:numRef>
              <c:f>Power_Pivot_Table!$H$98:$H$101</c:f>
              <c:numCache>
                <c:formatCode>_-[$$-409]* #,##0.00_ ;_-[$$-409]* \-#,##0.00\ ;_-[$$-409]* "-"??_ ;_-@_ </c:formatCode>
                <c:ptCount val="4"/>
                <c:pt idx="0">
                  <c:v>1238076.9235000007</c:v>
                </c:pt>
                <c:pt idx="1">
                  <c:v>1074246.7715000003</c:v>
                </c:pt>
                <c:pt idx="2">
                  <c:v>989656.80550000037</c:v>
                </c:pt>
                <c:pt idx="3">
                  <c:v>1078011.9280000005</c:v>
                </c:pt>
              </c:numCache>
            </c:numRef>
          </c:yVal>
          <c:smooth val="0"/>
          <c:extLst>
            <c:ext xmlns:c16="http://schemas.microsoft.com/office/drawing/2014/chart" uri="{C3380CC4-5D6E-409C-BE32-E72D297353CC}">
              <c16:uniqueId val="{00000001-B04A-4CB7-8F59-5710ABBC2CF9}"/>
            </c:ext>
          </c:extLst>
        </c:ser>
        <c:dLbls>
          <c:showLegendKey val="0"/>
          <c:showVal val="0"/>
          <c:showCatName val="0"/>
          <c:showSerName val="0"/>
          <c:showPercent val="0"/>
          <c:showBubbleSize val="0"/>
        </c:dLbls>
        <c:axId val="487425263"/>
        <c:axId val="487429103"/>
      </c:scatterChart>
      <c:scatterChart>
        <c:scatterStyle val="lineMarker"/>
        <c:varyColors val="0"/>
        <c:ser>
          <c:idx val="0"/>
          <c:order val="0"/>
          <c:tx>
            <c:strRef>
              <c:f>Power_Pivot_Table!$G$97</c:f>
              <c:strCache>
                <c:ptCount val="1"/>
                <c:pt idx="0">
                  <c:v>Sum of Returned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Power_Pivot_Table!$F$98:$F$101</c:f>
              <c:strCache>
                <c:ptCount val="4"/>
                <c:pt idx="0">
                  <c:v>FREESHIP</c:v>
                </c:pt>
                <c:pt idx="1">
                  <c:v>N/A</c:v>
                </c:pt>
                <c:pt idx="2">
                  <c:v>SAVE10</c:v>
                </c:pt>
                <c:pt idx="3">
                  <c:v>WINTER15</c:v>
                </c:pt>
              </c:strCache>
            </c:strRef>
          </c:xVal>
          <c:yVal>
            <c:numRef>
              <c:f>Power_Pivot_Table!$G$98:$G$101</c:f>
              <c:numCache>
                <c:formatCode>General</c:formatCode>
                <c:ptCount val="4"/>
                <c:pt idx="0">
                  <c:v>100</c:v>
                </c:pt>
                <c:pt idx="1">
                  <c:v>92</c:v>
                </c:pt>
                <c:pt idx="2">
                  <c:v>88</c:v>
                </c:pt>
                <c:pt idx="3">
                  <c:v>92</c:v>
                </c:pt>
              </c:numCache>
            </c:numRef>
          </c:yVal>
          <c:smooth val="0"/>
          <c:extLst>
            <c:ext xmlns:c16="http://schemas.microsoft.com/office/drawing/2014/chart" uri="{C3380CC4-5D6E-409C-BE32-E72D297353CC}">
              <c16:uniqueId val="{00000000-B04A-4CB7-8F59-5710ABBC2CF9}"/>
            </c:ext>
          </c:extLst>
        </c:ser>
        <c:dLbls>
          <c:showLegendKey val="0"/>
          <c:showVal val="0"/>
          <c:showCatName val="0"/>
          <c:showSerName val="0"/>
          <c:showPercent val="0"/>
          <c:showBubbleSize val="0"/>
        </c:dLbls>
        <c:axId val="487385903"/>
        <c:axId val="487389743"/>
      </c:scatterChart>
      <c:valAx>
        <c:axId val="4874252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7429103"/>
        <c:crosses val="autoZero"/>
        <c:crossBetween val="midCat"/>
        <c:majorUnit val="0.5"/>
      </c:valAx>
      <c:valAx>
        <c:axId val="48742910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7425263"/>
        <c:crosses val="autoZero"/>
        <c:crossBetween val="midCat"/>
      </c:valAx>
      <c:valAx>
        <c:axId val="487389743"/>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7385903"/>
        <c:crosses val="max"/>
        <c:crossBetween val="midCat"/>
      </c:valAx>
      <c:valAx>
        <c:axId val="487385903"/>
        <c:scaling>
          <c:orientation val="minMax"/>
        </c:scaling>
        <c:delete val="1"/>
        <c:axPos val="b"/>
        <c:majorTickMark val="out"/>
        <c:minorTickMark val="none"/>
        <c:tickLblPos val="nextTo"/>
        <c:crossAx val="4873897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[Product_Sales_Region_Project.xlsx]Power_Pivot_Table!PivotTable1</c:name>
    <c:fmtId val="40"/>
  </c:pivotSource>
  <c:chart>
    <c:title>
      <c:tx>
        <c:rich>
          <a:bodyPr rot="0" spcFirstLastPara="1" vertOverflow="ellipsis" vert="horz" wrap="square" anchor="ctr" anchorCtr="1"/>
          <a:lstStyle/>
          <a:p>
            <a:pPr>
              <a:defRPr sz="1600" b="1" i="0" u="none" strike="noStrike" kern="1200" baseline="0">
                <a:solidFill>
                  <a:schemeClr val="bg1"/>
                </a:solidFill>
                <a:latin typeface="+mj-lt"/>
                <a:ea typeface="+mn-ea"/>
                <a:cs typeface="+mn-cs"/>
              </a:defRPr>
            </a:pPr>
            <a:r>
              <a:rPr lang="en-US" sz="1400"/>
              <a:t>REVENUE</a:t>
            </a:r>
            <a:r>
              <a:rPr lang="en-US" sz="1400"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j-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Power_Pivot_Table!$C$15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Power_Pivot_Table!$B$16:$B$21</c:f>
              <c:strCache>
                <c:ptCount val="5"/>
                <c:pt idx="0">
                  <c:v>Central</c:v>
                </c:pt>
                <c:pt idx="1">
                  <c:v>East</c:v>
                </c:pt>
                <c:pt idx="2">
                  <c:v>North</c:v>
                </c:pt>
                <c:pt idx="3">
                  <c:v>South</c:v>
                </c:pt>
                <c:pt idx="4">
                  <c:v>West</c:v>
                </c:pt>
              </c:strCache>
            </c:strRef>
          </c:cat>
          <c:val>
            <c:numRef>
              <c:f>Power_Pivot_Table!$C$16:$C$21</c:f>
              <c:numCache>
                <c:formatCode>\$#,##0.00;\(\$#,##0.00\);\$#,##0.00</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F154-4D99-B775-E5D1A34AF920}"/>
            </c:ext>
          </c:extLst>
        </c:ser>
        <c:dLbls>
          <c:showLegendKey val="0"/>
          <c:showVal val="0"/>
          <c:showCatName val="0"/>
          <c:showSerName val="0"/>
          <c:showPercent val="0"/>
          <c:showBubbleSize val="0"/>
        </c:dLbls>
        <c:gapWidth val="70"/>
        <c:overlap val="-24"/>
        <c:axId val="1959827775"/>
        <c:axId val="1959828255"/>
      </c:barChart>
      <c:catAx>
        <c:axId val="1959827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959828255"/>
        <c:crosses val="autoZero"/>
        <c:auto val="1"/>
        <c:lblAlgn val="ctr"/>
        <c:lblOffset val="100"/>
        <c:noMultiLvlLbl val="0"/>
      </c:catAx>
      <c:valAx>
        <c:axId val="1959828255"/>
        <c:scaling>
          <c:orientation val="minMax"/>
        </c:scaling>
        <c:delete val="0"/>
        <c:axPos val="l"/>
        <c:majorGridlines>
          <c:spPr>
            <a:ln w="9525" cap="flat" cmpd="sng" algn="ctr">
              <a:solidFill>
                <a:schemeClr val="bg1"/>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95982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[Product_Sales_Region_Project.xlsx]Power_Pivot_Table!PivotTable10</c:name>
    <c:fmtId val="110"/>
  </c:pivotSource>
  <c:chart>
    <c:title>
      <c:tx>
        <c:rich>
          <a:bodyPr rot="0" spcFirstLastPara="1" vertOverflow="ellipsis" vert="horz" wrap="square" anchor="ctr" anchorCtr="1"/>
          <a:lstStyle/>
          <a:p>
            <a:pPr>
              <a:defRPr sz="1400" b="1" i="0" u="none" strike="noStrike" kern="1200" baseline="0">
                <a:ln>
                  <a:noFill/>
                </a:ln>
                <a:solidFill>
                  <a:schemeClr val="bg1"/>
                </a:solidFill>
                <a:latin typeface="+mj-lt"/>
                <a:ea typeface="+mn-ea"/>
                <a:cs typeface="+mn-cs"/>
              </a:defRPr>
            </a:pPr>
            <a:r>
              <a:rPr lang="en-US" sz="1400">
                <a:ln>
                  <a:noFill/>
                </a:ln>
                <a:solidFill>
                  <a:schemeClr val="bg1"/>
                </a:solidFill>
                <a:effectLst>
                  <a:glow rad="63500">
                    <a:schemeClr val="accent1">
                      <a:satMod val="175000"/>
                      <a:alpha val="40000"/>
                    </a:schemeClr>
                  </a:glow>
                </a:effectLst>
                <a:latin typeface="+mj-lt"/>
              </a:rPr>
              <a:t>SALES BY MONTHLY/QUATERLY</a:t>
            </a:r>
          </a:p>
        </c:rich>
      </c:tx>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delet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9525">
              <a:solidFill>
                <a:schemeClr val="accent5">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marker>
          <c:symbol val="circle"/>
          <c:size val="6"/>
        </c:marker>
        <c:dLbl>
          <c:idx val="0"/>
          <c:delete val="1"/>
          <c:extLst>
            <c:ext xmlns:c15="http://schemas.microsoft.com/office/drawing/2012/chart" uri="{CE6537A1-D6FC-4f65-9D91-7224C49458BB}"/>
          </c:extLst>
        </c:dLbl>
      </c:pivotFmt>
      <c:pivotFmt>
        <c:idx val="1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9"/>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0"/>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1"/>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2"/>
        <c:spPr>
          <a:ln w="34925" cap="rnd">
            <a:solidFill>
              <a:schemeClr val="accent2">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3"/>
        <c:spPr>
          <a:ln w="34925" cap="rnd">
            <a:solidFill>
              <a:schemeClr val="accent3">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4"/>
        <c:spPr>
          <a:ln w="34925" cap="rnd">
            <a:solidFill>
              <a:schemeClr val="accent4">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5"/>
        <c:spPr>
          <a:ln w="34925" cap="rnd">
            <a:solidFill>
              <a:schemeClr val="accent5">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9525">
              <a:solidFill>
                <a:schemeClr val="accent5">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6"/>
        <c:spPr>
          <a:ln w="34925" cap="rnd">
            <a:solidFill>
              <a:schemeClr val="accent6">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1"/>
        <c:ser>
          <c:idx val="0"/>
          <c:order val="0"/>
          <c:tx>
            <c:strRef>
              <c:f>Power_Pivot_Table!$C$46</c:f>
              <c:strCache>
                <c:ptCount val="1"/>
                <c:pt idx="0">
                  <c:v>Total</c:v>
                </c:pt>
              </c:strCache>
            </c:strRef>
          </c:tx>
          <c:marker>
            <c:symbol val="circle"/>
            <c:size val="6"/>
          </c:marker>
          <c:dPt>
            <c:idx val="0"/>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9FA6-48BA-8C01-686CF155613F}"/>
              </c:ext>
            </c:extLst>
          </c:dPt>
          <c:dPt>
            <c:idx val="1"/>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9FA6-48BA-8C01-686CF155613F}"/>
              </c:ext>
            </c:extLst>
          </c:dPt>
          <c:dPt>
            <c:idx val="2"/>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9FA6-48BA-8C01-686CF155613F}"/>
              </c:ext>
            </c:extLst>
          </c:dPt>
          <c:dPt>
            <c:idx val="3"/>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9FA6-48BA-8C01-686CF155613F}"/>
              </c:ext>
            </c:extLst>
          </c:dPt>
          <c:dPt>
            <c:idx val="4"/>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5"/>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9FA6-48BA-8C01-686CF155613F}"/>
              </c:ext>
            </c:extLst>
          </c:dPt>
          <c:dPt>
            <c:idx val="5"/>
            <c:marker>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6"/>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9FA6-48BA-8C01-686CF155613F}"/>
              </c:ext>
            </c:extLst>
          </c:dPt>
          <c:dPt>
            <c:idx val="6"/>
            <c:marker>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9FA6-48BA-8C01-686CF155613F}"/>
              </c:ext>
            </c:extLst>
          </c:dPt>
          <c:dPt>
            <c:idx val="7"/>
            <c:marker>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F-9FA6-48BA-8C01-686CF155613F}"/>
              </c:ext>
            </c:extLst>
          </c:dPt>
          <c:dPt>
            <c:idx val="8"/>
            <c:marker>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1-9FA6-48BA-8C01-686CF155613F}"/>
              </c:ext>
            </c:extLst>
          </c:dPt>
          <c:dPt>
            <c:idx val="9"/>
            <c:marker>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4">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3-9FA6-48BA-8C01-686CF155613F}"/>
              </c:ext>
            </c:extLst>
          </c:dPt>
          <c:dPt>
            <c:idx val="10"/>
            <c:marker>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9525">
                  <a:solidFill>
                    <a:schemeClr val="accent5">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5">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5-9FA6-48BA-8C01-686CF155613F}"/>
              </c:ext>
            </c:extLst>
          </c:dPt>
          <c:dPt>
            <c:idx val="11"/>
            <c:marker>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6">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7-9FA6-48BA-8C01-686CF155613F}"/>
              </c:ext>
            </c:extLst>
          </c:dPt>
          <c:cat>
            <c:multiLvlStrRef>
              <c:f>Power_Pivot_Table!$B$47:$B$63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Power_Pivot_Table!$C$47:$C$63</c:f>
              <c:numCache>
                <c:formatCode>\$#,##0.00;\(\$#,##0.00\);\$#,##0.00</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1"/>
          <c:extLst>
            <c:ext xmlns:c16="http://schemas.microsoft.com/office/drawing/2014/chart" uri="{C3380CC4-5D6E-409C-BE32-E72D297353CC}">
              <c16:uniqueId val="{00000019-8B86-484D-B3F6-71D8469AFE84}"/>
            </c:ext>
          </c:extLst>
        </c:ser>
        <c:dLbls>
          <c:showLegendKey val="0"/>
          <c:showVal val="0"/>
          <c:showCatName val="0"/>
          <c:showSerName val="0"/>
          <c:showPercent val="0"/>
          <c:showBubbleSize val="0"/>
        </c:dLbls>
        <c:marker val="1"/>
        <c:smooth val="0"/>
        <c:axId val="1762992063"/>
        <c:axId val="1762982463"/>
      </c:lineChart>
      <c:catAx>
        <c:axId val="1762992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62982463"/>
        <c:crosses val="autoZero"/>
        <c:auto val="1"/>
        <c:lblAlgn val="ctr"/>
        <c:lblOffset val="100"/>
        <c:noMultiLvlLbl val="0"/>
      </c:catAx>
      <c:valAx>
        <c:axId val="176298246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6299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[Product_Sales_Region_Project.xlsx]Power_Pivot_Table!PivotTable11</c:name>
    <c:fmtId val="102"/>
  </c:pivotSource>
  <c:chart>
    <c:title>
      <c:tx>
        <c:rich>
          <a:bodyPr rot="0" spcFirstLastPara="1" vertOverflow="ellipsis" vert="horz" wrap="square" anchor="ctr" anchorCtr="1"/>
          <a:lstStyle/>
          <a:p>
            <a:pPr>
              <a:defRPr sz="1200" b="1" i="0" u="none" strike="noStrike" kern="1200" cap="all" spc="50" baseline="0">
                <a:solidFill>
                  <a:schemeClr val="bg1"/>
                </a:solidFill>
                <a:latin typeface="+mj-lt"/>
                <a:ea typeface="+mn-ea"/>
                <a:cs typeface="+mn-cs"/>
              </a:defRPr>
            </a:pPr>
            <a:r>
              <a:rPr lang="en-IN" sz="1200" b="1" i="0" u="none" strike="noStrike" cap="all" baseline="0"/>
              <a:t>Payment Method Share (%)</a:t>
            </a:r>
            <a:endParaRPr lang="en-US" sz="1200">
              <a:solidFill>
                <a:schemeClr val="bg1"/>
              </a:solidFill>
              <a:latin typeface="+mj-lt"/>
            </a:endParaRP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mj-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Power_Pivot_Table!$C$66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CC0-4507-B569-353E434A4F4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CC0-4507-B569-353E434A4F4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CC0-4507-B569-353E434A4F4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CC0-4507-B569-353E434A4F4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CC0-4507-B569-353E434A4F4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Power_Pivot_Table!$B$67:$B$72</c:f>
              <c:strCache>
                <c:ptCount val="5"/>
                <c:pt idx="0">
                  <c:v>Cash</c:v>
                </c:pt>
                <c:pt idx="1">
                  <c:v>Credit Card</c:v>
                </c:pt>
                <c:pt idx="2">
                  <c:v>Debit Card</c:v>
                </c:pt>
                <c:pt idx="3">
                  <c:v>Gift Card</c:v>
                </c:pt>
                <c:pt idx="4">
                  <c:v>Online</c:v>
                </c:pt>
              </c:strCache>
            </c:strRef>
          </c:cat>
          <c:val>
            <c:numRef>
              <c:f>Power_Pivot_Table!$C$67:$C$72</c:f>
              <c:numCache>
                <c:formatCode>General</c:formatCode>
                <c:ptCount val="5"/>
                <c:pt idx="0">
                  <c:v>312</c:v>
                </c:pt>
                <c:pt idx="1">
                  <c:v>299</c:v>
                </c:pt>
                <c:pt idx="2">
                  <c:v>290</c:v>
                </c:pt>
                <c:pt idx="3">
                  <c:v>276</c:v>
                </c:pt>
                <c:pt idx="4">
                  <c:v>323</c:v>
                </c:pt>
              </c:numCache>
            </c:numRef>
          </c:val>
          <c:extLst>
            <c:ext xmlns:c16="http://schemas.microsoft.com/office/drawing/2014/chart" uri="{C3380CC4-5D6E-409C-BE32-E72D297353CC}">
              <c16:uniqueId val="{0000000A-3CC0-4507-B569-353E434A4F4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[Product_Sales_Region_Project.xlsx]Power_Pivot_Table!PivotTable12</c:name>
    <c:fmtId val="111"/>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n-ea"/>
                <a:cs typeface="Arial" panose="020B0604020202020204" pitchFamily="34" charset="0"/>
              </a:defRPr>
            </a:pPr>
            <a:r>
              <a:rPr lang="en-US" sz="1400">
                <a:solidFill>
                  <a:schemeClr val="bg1"/>
                </a:solidFill>
                <a:latin typeface="+mj-lt"/>
              </a:rPr>
              <a:t>RETURN RATE BY REGION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n-ea"/>
              <a:cs typeface="Arial" panose="020B0604020202020204" pitchFamily="34"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Power_Pivot_Table!$C$79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Power_Pivot_Table!$B$80:$B$85</c:f>
              <c:strCache>
                <c:ptCount val="5"/>
                <c:pt idx="0">
                  <c:v>Central</c:v>
                </c:pt>
                <c:pt idx="1">
                  <c:v>East</c:v>
                </c:pt>
                <c:pt idx="2">
                  <c:v>North</c:v>
                </c:pt>
                <c:pt idx="3">
                  <c:v>South</c:v>
                </c:pt>
                <c:pt idx="4">
                  <c:v>West</c:v>
                </c:pt>
              </c:strCache>
            </c:strRef>
          </c:cat>
          <c:val>
            <c:numRef>
              <c:f>Power_Pivot_Table!$C$80:$C$85</c:f>
              <c:numCache>
                <c:formatCode>General</c:formatCode>
                <c:ptCount val="5"/>
                <c:pt idx="0">
                  <c:v>70</c:v>
                </c:pt>
                <c:pt idx="1">
                  <c:v>81</c:v>
                </c:pt>
                <c:pt idx="2">
                  <c:v>70</c:v>
                </c:pt>
                <c:pt idx="3">
                  <c:v>77</c:v>
                </c:pt>
                <c:pt idx="4">
                  <c:v>74</c:v>
                </c:pt>
              </c:numCache>
            </c:numRef>
          </c:val>
          <c:extLst>
            <c:ext xmlns:c16="http://schemas.microsoft.com/office/drawing/2014/chart" uri="{C3380CC4-5D6E-409C-BE32-E72D297353CC}">
              <c16:uniqueId val="{00000000-19BF-434B-88AC-1C4A1CCA9BE3}"/>
            </c:ext>
          </c:extLst>
        </c:ser>
        <c:dLbls>
          <c:showLegendKey val="0"/>
          <c:showVal val="0"/>
          <c:showCatName val="0"/>
          <c:showSerName val="0"/>
          <c:showPercent val="0"/>
          <c:showBubbleSize val="0"/>
        </c:dLbls>
        <c:gapWidth val="70"/>
        <c:overlap val="-20"/>
        <c:axId val="1738160575"/>
        <c:axId val="1738161055"/>
      </c:barChart>
      <c:catAx>
        <c:axId val="17381605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38161055"/>
        <c:crosses val="autoZero"/>
        <c:auto val="1"/>
        <c:lblAlgn val="ctr"/>
        <c:lblOffset val="100"/>
        <c:noMultiLvlLbl val="0"/>
      </c:catAx>
      <c:valAx>
        <c:axId val="173816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38160575"/>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[Product_Sales_Region_Project.xlsx]Power_Pivot_Table!PivotTable16</c:name>
    <c:fmtId val="126"/>
  </c:pivotSource>
  <c:chart>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a:solidFill>
                  <a:schemeClr val="bg1"/>
                </a:solidFill>
                <a:latin typeface="+mj-lt"/>
              </a:rPr>
              <a:t>REVENUE</a:t>
            </a:r>
            <a:r>
              <a:rPr lang="en-US" sz="1200" baseline="0">
                <a:solidFill>
                  <a:schemeClr val="bg1"/>
                </a:solidFill>
                <a:latin typeface="+mj-lt"/>
              </a:rPr>
              <a:t> BY SALES PERSON</a:t>
            </a:r>
            <a:endParaRPr lang="en-US" sz="1200">
              <a:solidFill>
                <a:schemeClr val="bg1"/>
              </a:solidFill>
              <a:latin typeface="+mj-lt"/>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3">
                  <a:lumMod val="60000"/>
                  <a:lumOff val="40000"/>
                </a:schemeClr>
              </a:gs>
              <a:gs pos="36000">
                <a:schemeClr val="accent1">
                  <a:lumMod val="45000"/>
                  <a:lumOff val="55000"/>
                </a:schemeClr>
              </a:gs>
              <a:gs pos="49000">
                <a:schemeClr val="accent1">
                  <a:lumMod val="45000"/>
                  <a:lumOff val="55000"/>
                </a:schemeClr>
              </a:gs>
              <a:gs pos="100000">
                <a:schemeClr val="tx2">
                  <a:lumMod val="60000"/>
                  <a:lumOff val="40000"/>
                </a:schemeClr>
              </a:gs>
            </a:gsLst>
            <a:path path="circle">
              <a:fillToRect l="100000" t="100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3">
                  <a:lumMod val="60000"/>
                  <a:lumOff val="40000"/>
                </a:schemeClr>
              </a:gs>
              <a:gs pos="36000">
                <a:schemeClr val="accent1">
                  <a:lumMod val="45000"/>
                  <a:lumOff val="55000"/>
                </a:schemeClr>
              </a:gs>
              <a:gs pos="49000">
                <a:schemeClr val="accent1">
                  <a:lumMod val="45000"/>
                  <a:lumOff val="55000"/>
                </a:schemeClr>
              </a:gs>
              <a:gs pos="100000">
                <a:schemeClr val="tx2">
                  <a:lumMod val="60000"/>
                  <a:lumOff val="40000"/>
                </a:schemeClr>
              </a:gs>
            </a:gsLst>
            <a:path path="circle">
              <a:fillToRect l="100000" t="100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lumMod val="60000"/>
                  <a:lumOff val="40000"/>
                </a:schemeClr>
              </a:gs>
              <a:gs pos="36000">
                <a:schemeClr val="accent1">
                  <a:lumMod val="45000"/>
                  <a:lumOff val="55000"/>
                </a:schemeClr>
              </a:gs>
              <a:gs pos="49000">
                <a:schemeClr val="accent1">
                  <a:lumMod val="45000"/>
                  <a:lumOff val="55000"/>
                </a:schemeClr>
              </a:gs>
              <a:gs pos="100000">
                <a:schemeClr val="tx2">
                  <a:lumMod val="60000"/>
                  <a:lumOff val="40000"/>
                </a:schemeClr>
              </a:gs>
            </a:gsLst>
            <a:path path="circle">
              <a:fillToRect l="100000" t="100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Power_Pivot_Table!$C$115</c:f>
              <c:strCache>
                <c:ptCount val="1"/>
                <c:pt idx="0">
                  <c:v>Total</c:v>
                </c:pt>
              </c:strCache>
            </c:strRef>
          </c:tx>
          <c:spPr>
            <a:gradFill rotWithShape="1">
              <a:gsLst>
                <a:gs pos="0">
                  <a:schemeClr val="accent3">
                    <a:lumMod val="60000"/>
                    <a:lumOff val="40000"/>
                  </a:schemeClr>
                </a:gs>
                <a:gs pos="36000">
                  <a:schemeClr val="accent1">
                    <a:lumMod val="45000"/>
                    <a:lumOff val="55000"/>
                  </a:schemeClr>
                </a:gs>
                <a:gs pos="49000">
                  <a:schemeClr val="accent1">
                    <a:lumMod val="45000"/>
                    <a:lumOff val="55000"/>
                  </a:schemeClr>
                </a:gs>
                <a:gs pos="100000">
                  <a:schemeClr val="tx2">
                    <a:lumMod val="60000"/>
                    <a:lumOff val="40000"/>
                  </a:schemeClr>
                </a:gs>
              </a:gsLst>
              <a:path path="circle">
                <a:fillToRect l="100000" t="100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Power_Pivot_Table!$B$116:$B$122</c:f>
              <c:strCache>
                <c:ptCount val="6"/>
                <c:pt idx="0">
                  <c:v>Alice</c:v>
                </c:pt>
                <c:pt idx="1">
                  <c:v>Bob</c:v>
                </c:pt>
                <c:pt idx="2">
                  <c:v>Carlos</c:v>
                </c:pt>
                <c:pt idx="3">
                  <c:v>Diana</c:v>
                </c:pt>
                <c:pt idx="4">
                  <c:v>Eva</c:v>
                </c:pt>
                <c:pt idx="5">
                  <c:v>Frank</c:v>
                </c:pt>
              </c:strCache>
            </c:strRef>
          </c:cat>
          <c:val>
            <c:numRef>
              <c:f>Power_Pivot_Table!$C$116:$C$122</c:f>
              <c:numCache>
                <c:formatCode>\$#,##0.00;\(\$#,##0.00\);\$#,##0.00</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1412-40B2-BCD2-7CD02AA5438D}"/>
            </c:ext>
          </c:extLst>
        </c:ser>
        <c:dLbls>
          <c:showLegendKey val="0"/>
          <c:showVal val="0"/>
          <c:showCatName val="0"/>
          <c:showSerName val="0"/>
          <c:showPercent val="0"/>
          <c:showBubbleSize val="0"/>
        </c:dLbls>
        <c:gapWidth val="70"/>
        <c:overlap val="100"/>
        <c:axId val="640817600"/>
        <c:axId val="640824320"/>
      </c:barChart>
      <c:catAx>
        <c:axId val="640817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40824320"/>
        <c:crosses val="autoZero"/>
        <c:auto val="1"/>
        <c:lblAlgn val="ctr"/>
        <c:lblOffset val="100"/>
        <c:noMultiLvlLbl val="0"/>
      </c:catAx>
      <c:valAx>
        <c:axId val="64082432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40817600"/>
        <c:crosses val="autoZero"/>
        <c:crossBetween val="between"/>
        <c:majorUnit val="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bg1"/>
                </a:solidFill>
                <a:latin typeface="+mj-lt"/>
                <a:ea typeface="+mn-ea"/>
                <a:cs typeface="+mn-cs"/>
              </a:defRPr>
            </a:pPr>
            <a:r>
              <a:rPr lang="en-IN" sz="1200" b="1">
                <a:latin typeface="+mj-lt"/>
              </a:rPr>
              <a:t>RETURNED &amp; REVENUE BY PROMOTION CODE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j-lt"/>
              <a:ea typeface="+mn-ea"/>
              <a:cs typeface="+mn-cs"/>
            </a:defRPr>
          </a:pPr>
          <a:endParaRPr lang="en-US"/>
        </a:p>
      </c:txPr>
    </c:title>
    <c:autoTitleDeleted val="0"/>
    <c:plotArea>
      <c:layout/>
      <c:scatterChart>
        <c:scatterStyle val="lineMarker"/>
        <c:varyColors val="0"/>
        <c:ser>
          <c:idx val="0"/>
          <c:order val="0"/>
          <c:tx>
            <c:strRef>
              <c:f>Power_Pivot_Table!$G$97</c:f>
              <c:strCache>
                <c:ptCount val="1"/>
                <c:pt idx="0">
                  <c:v>Sum of Returned</c:v>
                </c:pt>
              </c:strCache>
            </c:strRef>
          </c:tx>
          <c:spPr>
            <a:ln w="19050" cap="rnd">
              <a:solidFill>
                <a:srgbClr val="7030A0"/>
              </a:solidFill>
              <a:round/>
            </a:ln>
            <a:effectLst/>
          </c:spPr>
          <c:marker>
            <c:symbol val="circle"/>
            <c:size val="5"/>
            <c:spPr>
              <a:solidFill>
                <a:schemeClr val="accent1"/>
              </a:solidFill>
              <a:ln w="9525">
                <a:solidFill>
                  <a:schemeClr val="accent1"/>
                </a:solidFill>
              </a:ln>
              <a:effectLst/>
            </c:spPr>
          </c:marker>
          <c:xVal>
            <c:strRef>
              <c:f>Power_Pivot_Table!$F$98:$F$101</c:f>
              <c:strCache>
                <c:ptCount val="4"/>
                <c:pt idx="0">
                  <c:v>FREESHIP</c:v>
                </c:pt>
                <c:pt idx="1">
                  <c:v>N/A</c:v>
                </c:pt>
                <c:pt idx="2">
                  <c:v>SAVE10</c:v>
                </c:pt>
                <c:pt idx="3">
                  <c:v>WINTER15</c:v>
                </c:pt>
              </c:strCache>
            </c:strRef>
          </c:xVal>
          <c:yVal>
            <c:numRef>
              <c:f>Power_Pivot_Table!$G$98:$G$101</c:f>
              <c:numCache>
                <c:formatCode>General</c:formatCode>
                <c:ptCount val="4"/>
                <c:pt idx="0">
                  <c:v>100</c:v>
                </c:pt>
                <c:pt idx="1">
                  <c:v>92</c:v>
                </c:pt>
                <c:pt idx="2">
                  <c:v>88</c:v>
                </c:pt>
                <c:pt idx="3">
                  <c:v>92</c:v>
                </c:pt>
              </c:numCache>
            </c:numRef>
          </c:yVal>
          <c:smooth val="1"/>
          <c:extLst>
            <c:ext xmlns:c16="http://schemas.microsoft.com/office/drawing/2014/chart" uri="{C3380CC4-5D6E-409C-BE32-E72D297353CC}">
              <c16:uniqueId val="{00000001-20D4-4705-A830-38D44072ECF2}"/>
            </c:ext>
          </c:extLst>
        </c:ser>
        <c:dLbls>
          <c:showLegendKey val="0"/>
          <c:showVal val="0"/>
          <c:showCatName val="0"/>
          <c:showSerName val="0"/>
          <c:showPercent val="0"/>
          <c:showBubbleSize val="0"/>
        </c:dLbls>
        <c:axId val="487425263"/>
        <c:axId val="487429103"/>
      </c:scatterChart>
      <c:scatterChart>
        <c:scatterStyle val="lineMarker"/>
        <c:varyColors val="0"/>
        <c:ser>
          <c:idx val="1"/>
          <c:order val="1"/>
          <c:tx>
            <c:strRef>
              <c:f>Power_Pivot_Table!$H$97</c:f>
              <c:strCache>
                <c:ptCount val="1"/>
                <c:pt idx="0">
                  <c:v>Sum of TotalPrice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Power_Pivot_Table!$F$98:$F$101</c:f>
              <c:strCache>
                <c:ptCount val="4"/>
                <c:pt idx="0">
                  <c:v>FREESHIP</c:v>
                </c:pt>
                <c:pt idx="1">
                  <c:v>N/A</c:v>
                </c:pt>
                <c:pt idx="2">
                  <c:v>SAVE10</c:v>
                </c:pt>
                <c:pt idx="3">
                  <c:v>WINTER15</c:v>
                </c:pt>
              </c:strCache>
            </c:strRef>
          </c:xVal>
          <c:yVal>
            <c:numRef>
              <c:f>Power_Pivot_Table!$H$98:$H$101</c:f>
              <c:numCache>
                <c:formatCode>_-[$$-409]* #,##0.00_ ;_-[$$-409]* \-#,##0.00\ ;_-[$$-409]* "-"??_ ;_-@_ </c:formatCode>
                <c:ptCount val="4"/>
                <c:pt idx="0">
                  <c:v>1238076.9235000007</c:v>
                </c:pt>
                <c:pt idx="1">
                  <c:v>1074246.7715000003</c:v>
                </c:pt>
                <c:pt idx="2">
                  <c:v>989656.80550000037</c:v>
                </c:pt>
                <c:pt idx="3">
                  <c:v>1078011.9280000005</c:v>
                </c:pt>
              </c:numCache>
            </c:numRef>
          </c:yVal>
          <c:smooth val="1"/>
          <c:extLst>
            <c:ext xmlns:c16="http://schemas.microsoft.com/office/drawing/2014/chart" uri="{C3380CC4-5D6E-409C-BE32-E72D297353CC}">
              <c16:uniqueId val="{00000000-20D4-4705-A830-38D44072ECF2}"/>
            </c:ext>
          </c:extLst>
        </c:ser>
        <c:dLbls>
          <c:showLegendKey val="0"/>
          <c:showVal val="0"/>
          <c:showCatName val="0"/>
          <c:showSerName val="0"/>
          <c:showPercent val="0"/>
          <c:showBubbleSize val="0"/>
        </c:dLbls>
        <c:axId val="487503983"/>
        <c:axId val="487510703"/>
      </c:scatterChart>
      <c:valAx>
        <c:axId val="4874252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87429103"/>
        <c:crosses val="autoZero"/>
        <c:crossBetween val="midCat"/>
        <c:majorUnit val="0.5"/>
      </c:valAx>
      <c:valAx>
        <c:axId val="4874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87425263"/>
        <c:crosses val="autoZero"/>
        <c:crossBetween val="midCat"/>
      </c:valAx>
      <c:valAx>
        <c:axId val="487510703"/>
        <c:scaling>
          <c:orientation val="minMax"/>
        </c:scaling>
        <c:delete val="0"/>
        <c:axPos val="r"/>
        <c:numFmt formatCode="_-[$$-409]* #,##0.00_ ;_-[$$-409]* \-#,##0.00\ ;_-[$$-409]* &quot;-&quot;??_ ;_-@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7503983"/>
        <c:crosses val="max"/>
        <c:crossBetween val="midCat"/>
      </c:valAx>
      <c:valAx>
        <c:axId val="487503983"/>
        <c:scaling>
          <c:orientation val="minMax"/>
        </c:scaling>
        <c:delete val="1"/>
        <c:axPos val="b"/>
        <c:majorTickMark val="out"/>
        <c:minorTickMark val="none"/>
        <c:tickLblPos val="nextTo"/>
        <c:crossAx val="487510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REVENUE BY PRODUCTS</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Cambria (Headings)"/>
            </a:rPr>
            <a:t>REVENUE BY PRODUCTS</a:t>
          </a:r>
        </a:p>
      </cx:txPr>
    </cx:title>
    <cx:plotArea>
      <cx:plotAreaRegion>
        <cx:series layoutId="treemap" uniqueId="{42CDFB50-09FC-4B4A-B80E-69F54DEE9CDA}">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REVENUE BY PRODUCTS</cx:v>
        </cx:txData>
      </cx:tx>
      <cx:txPr>
        <a:bodyPr spcFirstLastPara="1" vertOverflow="ellipsis" horzOverflow="overflow" wrap="square" lIns="0" tIns="0" rIns="0" bIns="0" anchor="ctr" anchorCtr="1"/>
        <a:lstStyle/>
        <a:p>
          <a:pPr algn="ctr" rtl="0">
            <a:defRPr>
              <a:solidFill>
                <a:schemeClr val="bg1"/>
              </a:solidFill>
            </a:defRPr>
          </a:pPr>
          <a:r>
            <a:rPr lang="en-US" sz="1200" b="1" i="0" u="none" strike="noStrike" baseline="0">
              <a:solidFill>
                <a:schemeClr val="bg1"/>
              </a:solidFill>
              <a:latin typeface="Cambria (Headings)"/>
            </a:rPr>
            <a:t>REVENUE BY PRODUCTS</a:t>
          </a:r>
        </a:p>
      </cx:txPr>
    </cx:title>
    <cx:plotArea>
      <cx:plotAreaRegion>
        <cx:series layoutId="treemap" uniqueId="{42CDFB50-09FC-4B4A-B80E-69F54DEE9CDA}">
          <cx:dataLabels pos="inEnd">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557518</xdr:colOff>
      <xdr:row>9</xdr:row>
      <xdr:rowOff>80640</xdr:rowOff>
    </xdr:from>
    <xdr:to>
      <xdr:col>8</xdr:col>
      <xdr:colOff>569122</xdr:colOff>
      <xdr:row>24</xdr:row>
      <xdr:rowOff>50159</xdr:rowOff>
    </xdr:to>
    <xdr:graphicFrame macro="">
      <xdr:nvGraphicFramePr>
        <xdr:cNvPr id="5" name="Chart 4">
          <a:extLst>
            <a:ext uri="{FF2B5EF4-FFF2-40B4-BE49-F238E27FC236}">
              <a16:creationId xmlns:a16="http://schemas.microsoft.com/office/drawing/2014/main" id="{890640E7-9945-485D-BBB9-E6147E7BD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276137</xdr:colOff>
      <xdr:row>47</xdr:row>
      <xdr:rowOff>58024</xdr:rowOff>
    </xdr:from>
    <xdr:to>
      <xdr:col>8</xdr:col>
      <xdr:colOff>877348</xdr:colOff>
      <xdr:row>62</xdr:row>
      <xdr:rowOff>74802</xdr:rowOff>
    </xdr:to>
    <xdr:graphicFrame macro="">
      <xdr:nvGraphicFramePr>
        <xdr:cNvPr id="8" name="Chart 7">
          <a:extLst>
            <a:ext uri="{FF2B5EF4-FFF2-40B4-BE49-F238E27FC236}">
              <a16:creationId xmlns:a16="http://schemas.microsoft.com/office/drawing/2014/main" id="{5FE6177C-251E-B96F-A4EB-C4E30E6AE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318083</xdr:colOff>
      <xdr:row>63</xdr:row>
      <xdr:rowOff>72005</xdr:rowOff>
    </xdr:from>
    <xdr:to>
      <xdr:col>7</xdr:col>
      <xdr:colOff>1055615</xdr:colOff>
      <xdr:row>78</xdr:row>
      <xdr:rowOff>88783</xdr:rowOff>
    </xdr:to>
    <xdr:graphicFrame macro="">
      <xdr:nvGraphicFramePr>
        <xdr:cNvPr id="9" name="Chart 8">
          <a:extLst>
            <a:ext uri="{FF2B5EF4-FFF2-40B4-BE49-F238E27FC236}">
              <a16:creationId xmlns:a16="http://schemas.microsoft.com/office/drawing/2014/main" id="{E1B239DA-59C4-9F37-5BA4-98AA0BAE6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534797</xdr:colOff>
      <xdr:row>79</xdr:row>
      <xdr:rowOff>23070</xdr:rowOff>
    </xdr:from>
    <xdr:to>
      <xdr:col>8</xdr:col>
      <xdr:colOff>339054</xdr:colOff>
      <xdr:row>94</xdr:row>
      <xdr:rowOff>39848</xdr:rowOff>
    </xdr:to>
    <xdr:graphicFrame macro="">
      <xdr:nvGraphicFramePr>
        <xdr:cNvPr id="11" name="Chart 10">
          <a:extLst>
            <a:ext uri="{FF2B5EF4-FFF2-40B4-BE49-F238E27FC236}">
              <a16:creationId xmlns:a16="http://schemas.microsoft.com/office/drawing/2014/main" id="{5F89B537-65D0-E4F4-9C1F-A27D783BF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758505</xdr:colOff>
      <xdr:row>109</xdr:row>
      <xdr:rowOff>72007</xdr:rowOff>
    </xdr:from>
    <xdr:to>
      <xdr:col>8</xdr:col>
      <xdr:colOff>108358</xdr:colOff>
      <xdr:row>124</xdr:row>
      <xdr:rowOff>88785</xdr:rowOff>
    </xdr:to>
    <xdr:graphicFrame macro="">
      <xdr:nvGraphicFramePr>
        <xdr:cNvPr id="18" name="Chart 17">
          <a:extLst>
            <a:ext uri="{FF2B5EF4-FFF2-40B4-BE49-F238E27FC236}">
              <a16:creationId xmlns:a16="http://schemas.microsoft.com/office/drawing/2014/main" id="{11532AE3-0064-F3FD-8078-1E11D3B6B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374008</xdr:colOff>
      <xdr:row>26</xdr:row>
      <xdr:rowOff>47537</xdr:rowOff>
    </xdr:from>
    <xdr:to>
      <xdr:col>10</xdr:col>
      <xdr:colOff>311091</xdr:colOff>
      <xdr:row>41</xdr:row>
      <xdr:rowOff>64315</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A4DEE94D-6B04-FE64-F1B4-BE0E82EBA6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29586" y="4794308"/>
              <a:ext cx="4257413"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115348</xdr:colOff>
      <xdr:row>95</xdr:row>
      <xdr:rowOff>152399</xdr:rowOff>
    </xdr:from>
    <xdr:to>
      <xdr:col>12</xdr:col>
      <xdr:colOff>290119</xdr:colOff>
      <xdr:row>110</xdr:row>
      <xdr:rowOff>169177</xdr:rowOff>
    </xdr:to>
    <xdr:graphicFrame macro="">
      <xdr:nvGraphicFramePr>
        <xdr:cNvPr id="12" name="Chart 11">
          <a:extLst>
            <a:ext uri="{FF2B5EF4-FFF2-40B4-BE49-F238E27FC236}">
              <a16:creationId xmlns:a16="http://schemas.microsoft.com/office/drawing/2014/main" id="{5C1B12BB-5EF8-86D4-7A39-D2E5ED41D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0</xdr:row>
      <xdr:rowOff>137160</xdr:rowOff>
    </xdr:from>
    <xdr:to>
      <xdr:col>29</xdr:col>
      <xdr:colOff>178594</xdr:colOff>
      <xdr:row>36</xdr:row>
      <xdr:rowOff>177452</xdr:rowOff>
    </xdr:to>
    <xdr:sp macro="" textlink="">
      <xdr:nvSpPr>
        <xdr:cNvPr id="2" name="Rectangle: Rounded Corners 1">
          <a:extLst>
            <a:ext uri="{FF2B5EF4-FFF2-40B4-BE49-F238E27FC236}">
              <a16:creationId xmlns:a16="http://schemas.microsoft.com/office/drawing/2014/main" id="{4F172C8A-A033-85CB-6CE6-5F0339D043E9}"/>
            </a:ext>
          </a:extLst>
        </xdr:cNvPr>
        <xdr:cNvSpPr/>
      </xdr:nvSpPr>
      <xdr:spPr>
        <a:xfrm>
          <a:off x="381000" y="137160"/>
          <a:ext cx="17406938" cy="6683980"/>
        </a:xfrm>
        <a:prstGeom prst="roundRect">
          <a:avLst>
            <a:gd name="adj" fmla="val 2846"/>
          </a:avLst>
        </a:prstGeom>
        <a:solidFill>
          <a:srgbClr val="002060"/>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483868</xdr:colOff>
      <xdr:row>1</xdr:row>
      <xdr:rowOff>60960</xdr:rowOff>
    </xdr:from>
    <xdr:to>
      <xdr:col>26</xdr:col>
      <xdr:colOff>53661</xdr:colOff>
      <xdr:row>5</xdr:row>
      <xdr:rowOff>135802</xdr:rowOff>
    </xdr:to>
    <xdr:sp macro="" textlink="">
      <xdr:nvSpPr>
        <xdr:cNvPr id="4" name="Rectangle: Top Corners Rounded 3">
          <a:extLst>
            <a:ext uri="{FF2B5EF4-FFF2-40B4-BE49-F238E27FC236}">
              <a16:creationId xmlns:a16="http://schemas.microsoft.com/office/drawing/2014/main" id="{0F60DC17-2D80-4680-A6BD-4F5EC0482F37}"/>
            </a:ext>
          </a:extLst>
        </xdr:cNvPr>
        <xdr:cNvSpPr/>
      </xdr:nvSpPr>
      <xdr:spPr>
        <a:xfrm>
          <a:off x="483868" y="243411"/>
          <a:ext cx="15475201" cy="804645"/>
        </a:xfrm>
        <a:prstGeom prst="round2SameRect">
          <a:avLst>
            <a:gd name="adj1" fmla="val 13338"/>
            <a:gd name="adj2" fmla="val 0"/>
          </a:avLst>
        </a:prstGeom>
        <a:solidFill>
          <a:srgbClr val="0070C0"/>
        </a:solidFill>
        <a:ln>
          <a:solidFill>
            <a:srgbClr val="0070C0"/>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483862</xdr:colOff>
      <xdr:row>5</xdr:row>
      <xdr:rowOff>176385</xdr:rowOff>
    </xdr:from>
    <xdr:to>
      <xdr:col>4</xdr:col>
      <xdr:colOff>536214</xdr:colOff>
      <xdr:row>36</xdr:row>
      <xdr:rowOff>73067</xdr:rowOff>
    </xdr:to>
    <xdr:sp macro="" textlink="">
      <xdr:nvSpPr>
        <xdr:cNvPr id="5" name="Rectangle: Top Corners Rounded 4">
          <a:extLst>
            <a:ext uri="{FF2B5EF4-FFF2-40B4-BE49-F238E27FC236}">
              <a16:creationId xmlns:a16="http://schemas.microsoft.com/office/drawing/2014/main" id="{29CF453F-DF67-4B3A-997A-5EBD457B362D}"/>
            </a:ext>
          </a:extLst>
        </xdr:cNvPr>
        <xdr:cNvSpPr/>
      </xdr:nvSpPr>
      <xdr:spPr>
        <a:xfrm rot="10800000">
          <a:off x="483862" y="1072856"/>
          <a:ext cx="2502705" cy="5454799"/>
        </a:xfrm>
        <a:prstGeom prst="round2SameRect">
          <a:avLst>
            <a:gd name="adj1" fmla="val 3090"/>
            <a:gd name="adj2" fmla="val 0"/>
          </a:avLst>
        </a:prstGeom>
        <a:solidFill>
          <a:srgbClr val="0070C0"/>
        </a:solidFill>
        <a:ln>
          <a:noFill/>
        </a:ln>
        <a:effectLst>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63965</xdr:colOff>
      <xdr:row>2</xdr:row>
      <xdr:rowOff>38024</xdr:rowOff>
    </xdr:from>
    <xdr:to>
      <xdr:col>12</xdr:col>
      <xdr:colOff>55217</xdr:colOff>
      <xdr:row>4</xdr:row>
      <xdr:rowOff>158738</xdr:rowOff>
    </xdr:to>
    <xdr:sp macro="" textlink="">
      <xdr:nvSpPr>
        <xdr:cNvPr id="9" name="TextBox 6">
          <a:extLst>
            <a:ext uri="{FF2B5EF4-FFF2-40B4-BE49-F238E27FC236}">
              <a16:creationId xmlns:a16="http://schemas.microsoft.com/office/drawing/2014/main" id="{6FACC7FF-73E0-C738-9178-E86FA8AA4B1C}"/>
            </a:ext>
          </a:extLst>
        </xdr:cNvPr>
        <xdr:cNvSpPr txBox="1"/>
      </xdr:nvSpPr>
      <xdr:spPr>
        <a:xfrm>
          <a:off x="671356" y="413502"/>
          <a:ext cx="6672557" cy="496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3200" b="1" u="none">
              <a:ln>
                <a:solidFill>
                  <a:srgbClr val="002060"/>
                </a:solidFill>
              </a:ln>
              <a:solidFill>
                <a:schemeClr val="bg1"/>
              </a:solidFill>
              <a:effectLst>
                <a:glow rad="63500">
                  <a:srgbClr val="002060">
                    <a:alpha val="40000"/>
                  </a:srgbClr>
                </a:glow>
              </a:effectLst>
              <a:latin typeface="+mj-lt"/>
              <a:cs typeface="Times New Roman" panose="02020603050405020304" pitchFamily="18" charset="0"/>
            </a:rPr>
            <a:t>Business Performance Dashboard</a:t>
          </a:r>
        </a:p>
      </xdr:txBody>
    </xdr:sp>
    <xdr:clientData/>
  </xdr:twoCellAnchor>
  <xdr:twoCellAnchor>
    <xdr:from>
      <xdr:col>4</xdr:col>
      <xdr:colOff>574518</xdr:colOff>
      <xdr:row>6</xdr:row>
      <xdr:rowOff>426</xdr:rowOff>
    </xdr:from>
    <xdr:to>
      <xdr:col>26</xdr:col>
      <xdr:colOff>42930</xdr:colOff>
      <xdr:row>36</xdr:row>
      <xdr:rowOff>65544</xdr:rowOff>
    </xdr:to>
    <xdr:sp macro="" textlink="">
      <xdr:nvSpPr>
        <xdr:cNvPr id="19" name="Rectangle: Top Corners Rounded 18">
          <a:extLst>
            <a:ext uri="{FF2B5EF4-FFF2-40B4-BE49-F238E27FC236}">
              <a16:creationId xmlns:a16="http://schemas.microsoft.com/office/drawing/2014/main" id="{E6B79E69-9E71-4626-A81D-6A0EDC047F2A}"/>
            </a:ext>
          </a:extLst>
        </xdr:cNvPr>
        <xdr:cNvSpPr/>
      </xdr:nvSpPr>
      <xdr:spPr>
        <a:xfrm rot="10800000">
          <a:off x="3008002" y="1106555"/>
          <a:ext cx="12852573" cy="5595763"/>
        </a:xfrm>
        <a:prstGeom prst="round2SameRect">
          <a:avLst>
            <a:gd name="adj1" fmla="val 1295"/>
            <a:gd name="adj2" fmla="val 0"/>
          </a:avLst>
        </a:prstGeom>
        <a:solidFill>
          <a:srgbClr val="0070C0"/>
        </a:solidFill>
        <a:ln>
          <a:solidFill>
            <a:srgbClr val="0070C0"/>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16826</xdr:colOff>
      <xdr:row>6</xdr:row>
      <xdr:rowOff>139189</xdr:rowOff>
    </xdr:from>
    <xdr:to>
      <xdr:col>4</xdr:col>
      <xdr:colOff>397826</xdr:colOff>
      <xdr:row>11</xdr:row>
      <xdr:rowOff>29592</xdr:rowOff>
    </xdr:to>
    <xdr:grpSp>
      <xdr:nvGrpSpPr>
        <xdr:cNvPr id="113" name="Group 112">
          <a:extLst>
            <a:ext uri="{FF2B5EF4-FFF2-40B4-BE49-F238E27FC236}">
              <a16:creationId xmlns:a16="http://schemas.microsoft.com/office/drawing/2014/main" id="{4C8CB16B-64F3-1980-C4A1-BE9895D38B13}"/>
            </a:ext>
          </a:extLst>
        </xdr:cNvPr>
        <xdr:cNvGrpSpPr/>
      </xdr:nvGrpSpPr>
      <xdr:grpSpPr>
        <a:xfrm>
          <a:off x="626426" y="1236469"/>
          <a:ext cx="2209800" cy="804803"/>
          <a:chOff x="623483" y="1217976"/>
          <a:chExt cx="2204663" cy="669803"/>
        </a:xfrm>
      </xdr:grpSpPr>
      <xdr:sp macro="" textlink="">
        <xdr:nvSpPr>
          <xdr:cNvPr id="27" name="Rectangle: Rounded Corners 26">
            <a:extLst>
              <a:ext uri="{FF2B5EF4-FFF2-40B4-BE49-F238E27FC236}">
                <a16:creationId xmlns:a16="http://schemas.microsoft.com/office/drawing/2014/main" id="{FEADCFA6-1E9B-F3B5-66A4-40547B99B6DF}"/>
              </a:ext>
            </a:extLst>
          </xdr:cNvPr>
          <xdr:cNvSpPr/>
        </xdr:nvSpPr>
        <xdr:spPr>
          <a:xfrm>
            <a:off x="623483" y="1217976"/>
            <a:ext cx="2204663" cy="669803"/>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479F7109-F819-F054-04F9-2D7192F3D6CF}"/>
              </a:ext>
            </a:extLst>
          </xdr:cNvPr>
          <xdr:cNvSpPr txBox="1"/>
        </xdr:nvSpPr>
        <xdr:spPr>
          <a:xfrm>
            <a:off x="918435" y="1282766"/>
            <a:ext cx="1614758" cy="26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 </a:t>
            </a:r>
            <a:r>
              <a:rPr lang="en-IN" sz="1400" b="0">
                <a:solidFill>
                  <a:schemeClr val="bg1"/>
                </a:solidFill>
                <a:latin typeface="+mj-lt"/>
              </a:rPr>
              <a:t>Total</a:t>
            </a:r>
            <a:r>
              <a:rPr lang="en-IN" sz="1400" b="0" baseline="0">
                <a:solidFill>
                  <a:schemeClr val="bg1"/>
                </a:solidFill>
                <a:latin typeface="+mj-lt"/>
              </a:rPr>
              <a:t> Revenue</a:t>
            </a:r>
            <a:endParaRPr lang="en-IN" sz="1400" b="0">
              <a:solidFill>
                <a:schemeClr val="bg1"/>
              </a:solidFill>
              <a:latin typeface="+mj-lt"/>
            </a:endParaRPr>
          </a:p>
        </xdr:txBody>
      </xdr:sp>
      <xdr:sp macro="" textlink="">
        <xdr:nvSpPr>
          <xdr:cNvPr id="34" name="TextBox 33">
            <a:extLst>
              <a:ext uri="{FF2B5EF4-FFF2-40B4-BE49-F238E27FC236}">
                <a16:creationId xmlns:a16="http://schemas.microsoft.com/office/drawing/2014/main" id="{DDB0B92A-9EF7-4535-ABFF-DA381240DF15}"/>
              </a:ext>
            </a:extLst>
          </xdr:cNvPr>
          <xdr:cNvSpPr txBox="1"/>
        </xdr:nvSpPr>
        <xdr:spPr>
          <a:xfrm>
            <a:off x="996725" y="1562030"/>
            <a:ext cx="1458179" cy="26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 </a:t>
            </a:r>
            <a:r>
              <a:rPr lang="en-IN" sz="1600" b="1" i="0" u="none" strike="noStrike">
                <a:solidFill>
                  <a:schemeClr val="bg1"/>
                </a:solidFill>
                <a:effectLst/>
                <a:latin typeface="+mn-lt"/>
                <a:ea typeface="+mn-ea"/>
                <a:cs typeface="+mn-cs"/>
              </a:rPr>
              <a:t>$</a:t>
            </a:r>
            <a:r>
              <a:rPr lang="en-IN" sz="1600" b="1" i="0" u="none" strike="noStrike" baseline="0">
                <a:solidFill>
                  <a:schemeClr val="bg1"/>
                </a:solidFill>
                <a:effectLst/>
                <a:latin typeface="+mn-lt"/>
                <a:ea typeface="+mn-ea"/>
                <a:cs typeface="+mn-cs"/>
              </a:rPr>
              <a:t> </a:t>
            </a:r>
            <a:r>
              <a:rPr lang="en-IN" sz="1600" b="1" i="0" u="none" strike="noStrike">
                <a:solidFill>
                  <a:schemeClr val="bg1"/>
                </a:solidFill>
                <a:effectLst/>
                <a:latin typeface="+mn-lt"/>
                <a:ea typeface="+mn-ea"/>
                <a:cs typeface="+mn-cs"/>
              </a:rPr>
              <a:t>43,79,992.43 </a:t>
            </a:r>
            <a:endParaRPr lang="en-IN" sz="1200" b="1">
              <a:solidFill>
                <a:schemeClr val="bg1"/>
              </a:solidFill>
              <a:latin typeface="+mj-lt"/>
            </a:endParaRPr>
          </a:p>
        </xdr:txBody>
      </xdr:sp>
    </xdr:grpSp>
    <xdr:clientData/>
  </xdr:twoCellAnchor>
  <xdr:twoCellAnchor>
    <xdr:from>
      <xdr:col>1</xdr:col>
      <xdr:colOff>17682</xdr:colOff>
      <xdr:row>11</xdr:row>
      <xdr:rowOff>125519</xdr:rowOff>
    </xdr:from>
    <xdr:to>
      <xdr:col>4</xdr:col>
      <xdr:colOff>396970</xdr:colOff>
      <xdr:row>16</xdr:row>
      <xdr:rowOff>29593</xdr:rowOff>
    </xdr:to>
    <xdr:grpSp>
      <xdr:nvGrpSpPr>
        <xdr:cNvPr id="83" name="Group 82">
          <a:extLst>
            <a:ext uri="{FF2B5EF4-FFF2-40B4-BE49-F238E27FC236}">
              <a16:creationId xmlns:a16="http://schemas.microsoft.com/office/drawing/2014/main" id="{D56B0F85-AF7D-C430-9033-B137CA123E8E}"/>
            </a:ext>
          </a:extLst>
        </xdr:cNvPr>
        <xdr:cNvGrpSpPr/>
      </xdr:nvGrpSpPr>
      <xdr:grpSpPr>
        <a:xfrm>
          <a:off x="627282" y="2137199"/>
          <a:ext cx="2208088" cy="818474"/>
          <a:chOff x="596630" y="2013054"/>
          <a:chExt cx="2202951" cy="670115"/>
        </a:xfrm>
      </xdr:grpSpPr>
      <xdr:sp macro="" textlink="">
        <xdr:nvSpPr>
          <xdr:cNvPr id="54" name="Rectangle: Rounded Corners 53">
            <a:extLst>
              <a:ext uri="{FF2B5EF4-FFF2-40B4-BE49-F238E27FC236}">
                <a16:creationId xmlns:a16="http://schemas.microsoft.com/office/drawing/2014/main" id="{2233584E-825E-473F-A52F-5B55DA654E5F}"/>
              </a:ext>
            </a:extLst>
          </xdr:cNvPr>
          <xdr:cNvSpPr/>
        </xdr:nvSpPr>
        <xdr:spPr>
          <a:xfrm>
            <a:off x="596630" y="2013054"/>
            <a:ext cx="2202951" cy="670115"/>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8707FF9E-1F84-47C0-8447-1CB1C368E3C2}"/>
              </a:ext>
            </a:extLst>
          </xdr:cNvPr>
          <xdr:cNvSpPr txBox="1"/>
        </xdr:nvSpPr>
        <xdr:spPr>
          <a:xfrm>
            <a:off x="969029" y="2077966"/>
            <a:ext cx="1458152" cy="260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 </a:t>
            </a:r>
            <a:r>
              <a:rPr lang="en-IN" sz="1400" b="0">
                <a:solidFill>
                  <a:schemeClr val="bg1"/>
                </a:solidFill>
                <a:latin typeface="+mj-lt"/>
              </a:rPr>
              <a:t>Net Revenue</a:t>
            </a:r>
            <a:endParaRPr lang="en-IN" sz="1200" b="0">
              <a:solidFill>
                <a:schemeClr val="bg1"/>
              </a:solidFill>
              <a:latin typeface="+mj-lt"/>
            </a:endParaRPr>
          </a:p>
        </xdr:txBody>
      </xdr:sp>
      <xdr:sp macro="" textlink="">
        <xdr:nvSpPr>
          <xdr:cNvPr id="56" name="TextBox 55">
            <a:extLst>
              <a:ext uri="{FF2B5EF4-FFF2-40B4-BE49-F238E27FC236}">
                <a16:creationId xmlns:a16="http://schemas.microsoft.com/office/drawing/2014/main" id="{572C589A-D2A1-4E5F-A902-91DF616D0A14}"/>
              </a:ext>
            </a:extLst>
          </xdr:cNvPr>
          <xdr:cNvSpPr txBox="1"/>
        </xdr:nvSpPr>
        <xdr:spPr>
          <a:xfrm>
            <a:off x="855438" y="2357128"/>
            <a:ext cx="1685336" cy="263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bg1"/>
                </a:solidFill>
                <a:effectLst/>
                <a:latin typeface="+mj-lt"/>
                <a:ea typeface="+mn-ea"/>
                <a:cs typeface="+mn-cs"/>
              </a:rPr>
              <a:t> </a:t>
            </a:r>
            <a:r>
              <a:rPr lang="en-IN" sz="1600" b="1" i="0" u="none" strike="noStrike">
                <a:solidFill>
                  <a:schemeClr val="bg1"/>
                </a:solidFill>
                <a:effectLst/>
                <a:latin typeface="+mj-lt"/>
                <a:ea typeface="+mn-ea"/>
                <a:cs typeface="+mn-cs"/>
              </a:rPr>
              <a:t>$</a:t>
            </a:r>
            <a:r>
              <a:rPr lang="en-IN" sz="1600" b="1" i="0" u="none" strike="noStrike" baseline="0">
                <a:solidFill>
                  <a:schemeClr val="bg1"/>
                </a:solidFill>
                <a:effectLst/>
                <a:latin typeface="+mj-lt"/>
                <a:ea typeface="+mn-ea"/>
                <a:cs typeface="+mn-cs"/>
              </a:rPr>
              <a:t> </a:t>
            </a:r>
            <a:r>
              <a:rPr lang="en-IN" sz="1600" b="1" i="0" u="none" strike="noStrike">
                <a:solidFill>
                  <a:schemeClr val="bg1"/>
                </a:solidFill>
                <a:effectLst/>
                <a:latin typeface="+mj-lt"/>
                <a:ea typeface="+mn-ea"/>
                <a:cs typeface="+mn-cs"/>
              </a:rPr>
              <a:t>43,38,731.49 </a:t>
            </a:r>
            <a:endParaRPr lang="en-IN" sz="1600" b="1">
              <a:solidFill>
                <a:schemeClr val="bg1"/>
              </a:solidFill>
              <a:latin typeface="+mj-lt"/>
            </a:endParaRPr>
          </a:p>
        </xdr:txBody>
      </xdr:sp>
    </xdr:grpSp>
    <xdr:clientData/>
  </xdr:twoCellAnchor>
  <xdr:twoCellAnchor>
    <xdr:from>
      <xdr:col>1</xdr:col>
      <xdr:colOff>17682</xdr:colOff>
      <xdr:row>16</xdr:row>
      <xdr:rowOff>109078</xdr:rowOff>
    </xdr:from>
    <xdr:to>
      <xdr:col>4</xdr:col>
      <xdr:colOff>396970</xdr:colOff>
      <xdr:row>21</xdr:row>
      <xdr:rowOff>29592</xdr:rowOff>
    </xdr:to>
    <xdr:grpSp>
      <xdr:nvGrpSpPr>
        <xdr:cNvPr id="84" name="Group 83">
          <a:extLst>
            <a:ext uri="{FF2B5EF4-FFF2-40B4-BE49-F238E27FC236}">
              <a16:creationId xmlns:a16="http://schemas.microsoft.com/office/drawing/2014/main" id="{EFC96289-1477-7853-EDF8-88F719CD4EA6}"/>
            </a:ext>
          </a:extLst>
        </xdr:cNvPr>
        <xdr:cNvGrpSpPr/>
      </xdr:nvGrpSpPr>
      <xdr:grpSpPr>
        <a:xfrm>
          <a:off x="627282" y="3035158"/>
          <a:ext cx="2208088" cy="834914"/>
          <a:chOff x="607781" y="2808445"/>
          <a:chExt cx="2202951" cy="669802"/>
        </a:xfrm>
      </xdr:grpSpPr>
      <xdr:sp macro="" textlink="">
        <xdr:nvSpPr>
          <xdr:cNvPr id="57" name="Rectangle: Rounded Corners 56">
            <a:extLst>
              <a:ext uri="{FF2B5EF4-FFF2-40B4-BE49-F238E27FC236}">
                <a16:creationId xmlns:a16="http://schemas.microsoft.com/office/drawing/2014/main" id="{7BCB4829-6AD1-4B55-8F3A-AAE10E4367BE}"/>
              </a:ext>
            </a:extLst>
          </xdr:cNvPr>
          <xdr:cNvSpPr/>
        </xdr:nvSpPr>
        <xdr:spPr>
          <a:xfrm>
            <a:off x="607781" y="2808445"/>
            <a:ext cx="2202951" cy="669802"/>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B874CB39-8AA7-4462-A332-7618B9580496}"/>
              </a:ext>
            </a:extLst>
          </xdr:cNvPr>
          <xdr:cNvSpPr txBox="1"/>
        </xdr:nvSpPr>
        <xdr:spPr>
          <a:xfrm>
            <a:off x="682734" y="2873357"/>
            <a:ext cx="2053044" cy="267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a:t>
            </a:r>
            <a:r>
              <a:rPr lang="en-IN" sz="1400" b="0">
                <a:solidFill>
                  <a:schemeClr val="bg1"/>
                </a:solidFill>
                <a:latin typeface="+mj-lt"/>
              </a:rPr>
              <a:t>Average Order Value</a:t>
            </a:r>
            <a:endParaRPr lang="en-IN" sz="1200" b="0">
              <a:solidFill>
                <a:schemeClr val="bg1"/>
              </a:solidFill>
              <a:latin typeface="+mj-lt"/>
            </a:endParaRPr>
          </a:p>
        </xdr:txBody>
      </xdr:sp>
      <xdr:sp macro="" textlink="">
        <xdr:nvSpPr>
          <xdr:cNvPr id="59" name="TextBox 58">
            <a:extLst>
              <a:ext uri="{FF2B5EF4-FFF2-40B4-BE49-F238E27FC236}">
                <a16:creationId xmlns:a16="http://schemas.microsoft.com/office/drawing/2014/main" id="{3B5ABD90-41BE-4D00-9311-ECE9DBAD9737}"/>
              </a:ext>
            </a:extLst>
          </xdr:cNvPr>
          <xdr:cNvSpPr txBox="1"/>
        </xdr:nvSpPr>
        <xdr:spPr>
          <a:xfrm>
            <a:off x="980180" y="3152518"/>
            <a:ext cx="1458152" cy="264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bg1"/>
                </a:solidFill>
                <a:effectLst/>
                <a:latin typeface="+mj-lt"/>
                <a:ea typeface="+mn-ea"/>
                <a:cs typeface="+mn-cs"/>
              </a:rPr>
              <a:t> $</a:t>
            </a:r>
            <a:r>
              <a:rPr lang="en-IN" sz="1600" b="1" i="0" u="none" strike="noStrike" baseline="0">
                <a:solidFill>
                  <a:schemeClr val="bg1"/>
                </a:solidFill>
                <a:effectLst/>
                <a:latin typeface="+mj-lt"/>
                <a:ea typeface="+mn-ea"/>
                <a:cs typeface="+mn-cs"/>
              </a:rPr>
              <a:t> </a:t>
            </a:r>
            <a:r>
              <a:rPr lang="en-IN" sz="1600" b="1" i="0" u="none" strike="noStrike">
                <a:solidFill>
                  <a:schemeClr val="bg1"/>
                </a:solidFill>
                <a:effectLst/>
                <a:latin typeface="+mj-lt"/>
                <a:ea typeface="+mn-ea"/>
                <a:cs typeface="+mn-cs"/>
              </a:rPr>
              <a:t>2,919.99 </a:t>
            </a:r>
            <a:endParaRPr lang="en-IN" sz="1800" b="1">
              <a:solidFill>
                <a:schemeClr val="bg1"/>
              </a:solidFill>
              <a:latin typeface="+mj-lt"/>
            </a:endParaRPr>
          </a:p>
        </xdr:txBody>
      </xdr:sp>
    </xdr:grpSp>
    <xdr:clientData/>
  </xdr:twoCellAnchor>
  <xdr:twoCellAnchor>
    <xdr:from>
      <xdr:col>1</xdr:col>
      <xdr:colOff>17682</xdr:colOff>
      <xdr:row>21</xdr:row>
      <xdr:rowOff>113243</xdr:rowOff>
    </xdr:from>
    <xdr:to>
      <xdr:col>4</xdr:col>
      <xdr:colOff>396970</xdr:colOff>
      <xdr:row>26</xdr:row>
      <xdr:rowOff>32632</xdr:rowOff>
    </xdr:to>
    <xdr:grpSp>
      <xdr:nvGrpSpPr>
        <xdr:cNvPr id="85" name="Group 84">
          <a:extLst>
            <a:ext uri="{FF2B5EF4-FFF2-40B4-BE49-F238E27FC236}">
              <a16:creationId xmlns:a16="http://schemas.microsoft.com/office/drawing/2014/main" id="{59540A16-A2A9-B1FF-18CC-CFA9126CCED5}"/>
            </a:ext>
          </a:extLst>
        </xdr:cNvPr>
        <xdr:cNvGrpSpPr/>
      </xdr:nvGrpSpPr>
      <xdr:grpSpPr>
        <a:xfrm>
          <a:off x="627282" y="3953723"/>
          <a:ext cx="2208088" cy="833789"/>
          <a:chOff x="604075" y="3595852"/>
          <a:chExt cx="2202951" cy="669803"/>
        </a:xfrm>
      </xdr:grpSpPr>
      <xdr:sp macro="" textlink="">
        <xdr:nvSpPr>
          <xdr:cNvPr id="60" name="Rectangle: Rounded Corners 59">
            <a:extLst>
              <a:ext uri="{FF2B5EF4-FFF2-40B4-BE49-F238E27FC236}">
                <a16:creationId xmlns:a16="http://schemas.microsoft.com/office/drawing/2014/main" id="{EAB86524-BD81-4DB4-B5D8-B119535054F2}"/>
              </a:ext>
            </a:extLst>
          </xdr:cNvPr>
          <xdr:cNvSpPr/>
        </xdr:nvSpPr>
        <xdr:spPr>
          <a:xfrm>
            <a:off x="604075" y="3595852"/>
            <a:ext cx="2202951" cy="669803"/>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TextBox 60">
            <a:extLst>
              <a:ext uri="{FF2B5EF4-FFF2-40B4-BE49-F238E27FC236}">
                <a16:creationId xmlns:a16="http://schemas.microsoft.com/office/drawing/2014/main" id="{0FD245E9-741C-45F4-9910-C583659A242F}"/>
              </a:ext>
            </a:extLst>
          </xdr:cNvPr>
          <xdr:cNvSpPr txBox="1"/>
        </xdr:nvSpPr>
        <xdr:spPr>
          <a:xfrm>
            <a:off x="615386" y="3653196"/>
            <a:ext cx="2180326" cy="29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a:t>
            </a:r>
            <a:r>
              <a:rPr lang="en-IN" sz="1400" b="0">
                <a:solidFill>
                  <a:schemeClr val="bg1"/>
                </a:solidFill>
                <a:latin typeface="+mj-lt"/>
              </a:rPr>
              <a:t>Average Discount (%)</a:t>
            </a:r>
          </a:p>
        </xdr:txBody>
      </xdr:sp>
      <xdr:sp macro="" textlink="">
        <xdr:nvSpPr>
          <xdr:cNvPr id="62" name="TextBox 61">
            <a:extLst>
              <a:ext uri="{FF2B5EF4-FFF2-40B4-BE49-F238E27FC236}">
                <a16:creationId xmlns:a16="http://schemas.microsoft.com/office/drawing/2014/main" id="{26D3E728-A6AA-4395-BC06-7F0F0F8FF24F}"/>
              </a:ext>
            </a:extLst>
          </xdr:cNvPr>
          <xdr:cNvSpPr txBox="1"/>
        </xdr:nvSpPr>
        <xdr:spPr>
          <a:xfrm>
            <a:off x="976472" y="3939925"/>
            <a:ext cx="1458152" cy="264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bg1"/>
                </a:solidFill>
                <a:effectLst/>
                <a:latin typeface="+mj-lt"/>
                <a:ea typeface="+mn-ea"/>
                <a:cs typeface="+mn-cs"/>
              </a:rPr>
              <a:t>7.31%</a:t>
            </a:r>
            <a:r>
              <a:rPr lang="en-IN" sz="1600" b="1">
                <a:solidFill>
                  <a:schemeClr val="bg1"/>
                </a:solidFill>
                <a:effectLst/>
                <a:latin typeface="+mj-lt"/>
              </a:rPr>
              <a:t> </a:t>
            </a:r>
            <a:endParaRPr lang="en-IN" sz="1400" b="1">
              <a:solidFill>
                <a:schemeClr val="bg1"/>
              </a:solidFill>
              <a:latin typeface="+mj-lt"/>
            </a:endParaRPr>
          </a:p>
        </xdr:txBody>
      </xdr:sp>
    </xdr:grpSp>
    <xdr:clientData/>
  </xdr:twoCellAnchor>
  <xdr:twoCellAnchor>
    <xdr:from>
      <xdr:col>1</xdr:col>
      <xdr:colOff>17682</xdr:colOff>
      <xdr:row>26</xdr:row>
      <xdr:rowOff>92175</xdr:rowOff>
    </xdr:from>
    <xdr:to>
      <xdr:col>4</xdr:col>
      <xdr:colOff>396970</xdr:colOff>
      <xdr:row>31</xdr:row>
      <xdr:rowOff>10438</xdr:rowOff>
    </xdr:to>
    <xdr:grpSp>
      <xdr:nvGrpSpPr>
        <xdr:cNvPr id="86" name="Group 85">
          <a:extLst>
            <a:ext uri="{FF2B5EF4-FFF2-40B4-BE49-F238E27FC236}">
              <a16:creationId xmlns:a16="http://schemas.microsoft.com/office/drawing/2014/main" id="{05EB864F-9AE5-546A-7D83-FA2F45989AA1}"/>
            </a:ext>
          </a:extLst>
        </xdr:cNvPr>
        <xdr:cNvGrpSpPr/>
      </xdr:nvGrpSpPr>
      <xdr:grpSpPr>
        <a:xfrm>
          <a:off x="627282" y="4847055"/>
          <a:ext cx="2208088" cy="832663"/>
          <a:chOff x="582775" y="4385062"/>
          <a:chExt cx="2202951" cy="669802"/>
        </a:xfrm>
      </xdr:grpSpPr>
      <xdr:sp macro="" textlink="">
        <xdr:nvSpPr>
          <xdr:cNvPr id="63" name="Rectangle: Rounded Corners 62">
            <a:extLst>
              <a:ext uri="{FF2B5EF4-FFF2-40B4-BE49-F238E27FC236}">
                <a16:creationId xmlns:a16="http://schemas.microsoft.com/office/drawing/2014/main" id="{FE4C4265-4FB9-46C7-9968-29182F9A8816}"/>
              </a:ext>
            </a:extLst>
          </xdr:cNvPr>
          <xdr:cNvSpPr/>
        </xdr:nvSpPr>
        <xdr:spPr>
          <a:xfrm>
            <a:off x="582775" y="4385062"/>
            <a:ext cx="2202951" cy="669802"/>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F90AF4C5-4B2A-42EB-82B0-76A00CBC3C49}"/>
              </a:ext>
            </a:extLst>
          </xdr:cNvPr>
          <xdr:cNvSpPr txBox="1"/>
        </xdr:nvSpPr>
        <xdr:spPr>
          <a:xfrm>
            <a:off x="839826" y="4449974"/>
            <a:ext cx="1688851" cy="260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 </a:t>
            </a:r>
            <a:r>
              <a:rPr lang="en-IN" sz="1400" b="0">
                <a:solidFill>
                  <a:schemeClr val="bg1"/>
                </a:solidFill>
                <a:latin typeface="+mj-lt"/>
              </a:rPr>
              <a:t>Return</a:t>
            </a:r>
            <a:r>
              <a:rPr lang="en-IN" sz="1400" b="0" baseline="0">
                <a:solidFill>
                  <a:schemeClr val="bg1"/>
                </a:solidFill>
                <a:latin typeface="+mj-lt"/>
              </a:rPr>
              <a:t> Rate (%)</a:t>
            </a:r>
            <a:endParaRPr lang="en-IN" sz="1400" b="0">
              <a:solidFill>
                <a:schemeClr val="bg1"/>
              </a:solidFill>
              <a:latin typeface="+mj-lt"/>
            </a:endParaRPr>
          </a:p>
        </xdr:txBody>
      </xdr:sp>
      <xdr:sp macro="" textlink="">
        <xdr:nvSpPr>
          <xdr:cNvPr id="65" name="TextBox 64">
            <a:extLst>
              <a:ext uri="{FF2B5EF4-FFF2-40B4-BE49-F238E27FC236}">
                <a16:creationId xmlns:a16="http://schemas.microsoft.com/office/drawing/2014/main" id="{81807DE4-7561-4486-BFD9-DC5603E0DB45}"/>
              </a:ext>
            </a:extLst>
          </xdr:cNvPr>
          <xdr:cNvSpPr txBox="1"/>
        </xdr:nvSpPr>
        <xdr:spPr>
          <a:xfrm>
            <a:off x="955174" y="4729136"/>
            <a:ext cx="1458152" cy="264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bg1"/>
                </a:solidFill>
                <a:effectLst/>
                <a:latin typeface="+mj-lt"/>
                <a:ea typeface="+mn-ea"/>
                <a:cs typeface="+mn-cs"/>
              </a:rPr>
              <a:t>24.80%</a:t>
            </a:r>
            <a:r>
              <a:rPr lang="en-IN" sz="1600" b="1">
                <a:solidFill>
                  <a:schemeClr val="bg1"/>
                </a:solidFill>
                <a:effectLst/>
                <a:latin typeface="+mj-lt"/>
              </a:rPr>
              <a:t> </a:t>
            </a:r>
            <a:endParaRPr lang="en-IN" sz="1800" b="1">
              <a:solidFill>
                <a:schemeClr val="bg1"/>
              </a:solidFill>
              <a:latin typeface="+mj-lt"/>
            </a:endParaRPr>
          </a:p>
        </xdr:txBody>
      </xdr:sp>
    </xdr:grpSp>
    <xdr:clientData/>
  </xdr:twoCellAnchor>
  <xdr:twoCellAnchor>
    <xdr:from>
      <xdr:col>0</xdr:col>
      <xdr:colOff>586311</xdr:colOff>
      <xdr:row>31</xdr:row>
      <xdr:rowOff>96341</xdr:rowOff>
    </xdr:from>
    <xdr:to>
      <xdr:col>4</xdr:col>
      <xdr:colOff>433767</xdr:colOff>
      <xdr:row>35</xdr:row>
      <xdr:rowOff>124449</xdr:rowOff>
    </xdr:to>
    <xdr:grpSp>
      <xdr:nvGrpSpPr>
        <xdr:cNvPr id="179" name="Group 178">
          <a:extLst>
            <a:ext uri="{FF2B5EF4-FFF2-40B4-BE49-F238E27FC236}">
              <a16:creationId xmlns:a16="http://schemas.microsoft.com/office/drawing/2014/main" id="{CA5D34ED-9BB7-B0E3-5384-8C186CBAE5E7}"/>
            </a:ext>
          </a:extLst>
        </xdr:cNvPr>
        <xdr:cNvGrpSpPr/>
      </xdr:nvGrpSpPr>
      <xdr:grpSpPr>
        <a:xfrm>
          <a:off x="586311" y="5765621"/>
          <a:ext cx="2285856" cy="759628"/>
          <a:chOff x="695750" y="5259828"/>
          <a:chExt cx="2283199" cy="682132"/>
        </a:xfrm>
      </xdr:grpSpPr>
      <xdr:sp macro="" textlink="">
        <xdr:nvSpPr>
          <xdr:cNvPr id="66" name="Rectangle: Rounded Corners 65">
            <a:extLst>
              <a:ext uri="{FF2B5EF4-FFF2-40B4-BE49-F238E27FC236}">
                <a16:creationId xmlns:a16="http://schemas.microsoft.com/office/drawing/2014/main" id="{5E6B8E6A-8B45-43AF-A3B1-947F8DE8A20F}"/>
              </a:ext>
            </a:extLst>
          </xdr:cNvPr>
          <xdr:cNvSpPr/>
        </xdr:nvSpPr>
        <xdr:spPr>
          <a:xfrm>
            <a:off x="733305" y="5259828"/>
            <a:ext cx="2208088" cy="682132"/>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TextBox 66">
            <a:extLst>
              <a:ext uri="{FF2B5EF4-FFF2-40B4-BE49-F238E27FC236}">
                <a16:creationId xmlns:a16="http://schemas.microsoft.com/office/drawing/2014/main" id="{3E866483-9FF0-448E-8D22-C7B8C9CD2031}"/>
              </a:ext>
            </a:extLst>
          </xdr:cNvPr>
          <xdr:cNvSpPr txBox="1"/>
        </xdr:nvSpPr>
        <xdr:spPr>
          <a:xfrm>
            <a:off x="695750" y="5327343"/>
            <a:ext cx="2283199" cy="283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 </a:t>
            </a:r>
            <a:r>
              <a:rPr lang="en-IN" sz="1400" b="0">
                <a:solidFill>
                  <a:schemeClr val="bg1"/>
                </a:solidFill>
                <a:latin typeface="+mj-lt"/>
              </a:rPr>
              <a:t>Average</a:t>
            </a:r>
            <a:r>
              <a:rPr lang="en-IN" sz="1400" b="0" baseline="0">
                <a:solidFill>
                  <a:schemeClr val="bg1"/>
                </a:solidFill>
                <a:latin typeface="+mj-lt"/>
              </a:rPr>
              <a:t> Delivery Days</a:t>
            </a:r>
            <a:endParaRPr lang="en-IN" sz="1400" b="0">
              <a:solidFill>
                <a:schemeClr val="bg1"/>
              </a:solidFill>
              <a:latin typeface="+mj-lt"/>
            </a:endParaRPr>
          </a:p>
        </xdr:txBody>
      </xdr:sp>
      <xdr:sp macro="" textlink="">
        <xdr:nvSpPr>
          <xdr:cNvPr id="68" name="TextBox 67">
            <a:extLst>
              <a:ext uri="{FF2B5EF4-FFF2-40B4-BE49-F238E27FC236}">
                <a16:creationId xmlns:a16="http://schemas.microsoft.com/office/drawing/2014/main" id="{0FA22412-DE31-4495-8EE5-46EC65D66C47}"/>
              </a:ext>
            </a:extLst>
          </xdr:cNvPr>
          <xdr:cNvSpPr txBox="1"/>
        </xdr:nvSpPr>
        <xdr:spPr>
          <a:xfrm>
            <a:off x="1106573" y="5610235"/>
            <a:ext cx="1461552" cy="26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bg1"/>
                </a:solidFill>
                <a:effectLst/>
                <a:latin typeface="+mj-lt"/>
                <a:ea typeface="+mn-ea"/>
                <a:cs typeface="+mn-cs"/>
              </a:rPr>
              <a:t>6</a:t>
            </a:r>
            <a:r>
              <a:rPr lang="en-IN" sz="1600" b="1">
                <a:solidFill>
                  <a:schemeClr val="bg1"/>
                </a:solidFill>
                <a:effectLst/>
                <a:latin typeface="+mj-lt"/>
              </a:rPr>
              <a:t> </a:t>
            </a:r>
            <a:endParaRPr lang="en-IN" sz="1800" b="1">
              <a:solidFill>
                <a:schemeClr val="bg1"/>
              </a:solidFill>
              <a:latin typeface="+mj-lt"/>
            </a:endParaRPr>
          </a:p>
        </xdr:txBody>
      </xdr:sp>
    </xdr:grpSp>
    <xdr:clientData/>
  </xdr:twoCellAnchor>
  <xdr:twoCellAnchor>
    <xdr:from>
      <xdr:col>5</xdr:col>
      <xdr:colOff>103334</xdr:colOff>
      <xdr:row>6</xdr:row>
      <xdr:rowOff>147124</xdr:rowOff>
    </xdr:from>
    <xdr:to>
      <xdr:col>10</xdr:col>
      <xdr:colOff>182764</xdr:colOff>
      <xdr:row>15</xdr:row>
      <xdr:rowOff>172720</xdr:rowOff>
    </xdr:to>
    <xdr:sp macro="" textlink="">
      <xdr:nvSpPr>
        <xdr:cNvPr id="112" name="Rectangle: Rounded Corners 111">
          <a:extLst>
            <a:ext uri="{FF2B5EF4-FFF2-40B4-BE49-F238E27FC236}">
              <a16:creationId xmlns:a16="http://schemas.microsoft.com/office/drawing/2014/main" id="{5B5E84DF-DA49-4CB6-952D-CF45D84EB9C4}"/>
            </a:ext>
          </a:extLst>
        </xdr:cNvPr>
        <xdr:cNvSpPr/>
      </xdr:nvSpPr>
      <xdr:spPr>
        <a:xfrm>
          <a:off x="3145189" y="1253253"/>
          <a:ext cx="3121285" cy="1684790"/>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103334</xdr:colOff>
      <xdr:row>16</xdr:row>
      <xdr:rowOff>91440</xdr:rowOff>
    </xdr:from>
    <xdr:to>
      <xdr:col>10</xdr:col>
      <xdr:colOff>182764</xdr:colOff>
      <xdr:row>35</xdr:row>
      <xdr:rowOff>146137</xdr:rowOff>
    </xdr:to>
    <xdr:sp macro="" textlink="">
      <xdr:nvSpPr>
        <xdr:cNvPr id="168" name="Rectangle: Rounded Corners 167">
          <a:extLst>
            <a:ext uri="{FF2B5EF4-FFF2-40B4-BE49-F238E27FC236}">
              <a16:creationId xmlns:a16="http://schemas.microsoft.com/office/drawing/2014/main" id="{6B4207FB-EAA6-481A-B9CB-C6BB407E21AC}"/>
            </a:ext>
          </a:extLst>
        </xdr:cNvPr>
        <xdr:cNvSpPr/>
      </xdr:nvSpPr>
      <xdr:spPr>
        <a:xfrm>
          <a:off x="3161360" y="2979019"/>
          <a:ext cx="3137457" cy="3483697"/>
        </a:xfrm>
        <a:prstGeom prst="roundRect">
          <a:avLst>
            <a:gd name="adj" fmla="val 4180"/>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118038</xdr:colOff>
      <xdr:row>6</xdr:row>
      <xdr:rowOff>140352</xdr:rowOff>
    </xdr:from>
    <xdr:to>
      <xdr:col>25</xdr:col>
      <xdr:colOff>514691</xdr:colOff>
      <xdr:row>21</xdr:row>
      <xdr:rowOff>147826</xdr:rowOff>
    </xdr:to>
    <xdr:sp macro="" textlink="">
      <xdr:nvSpPr>
        <xdr:cNvPr id="234" name="Rectangle: Rounded Corners 233">
          <a:extLst>
            <a:ext uri="{FF2B5EF4-FFF2-40B4-BE49-F238E27FC236}">
              <a16:creationId xmlns:a16="http://schemas.microsoft.com/office/drawing/2014/main" id="{5422ABEE-FA1D-4F25-889D-BAC020A75E80}"/>
            </a:ext>
          </a:extLst>
        </xdr:cNvPr>
        <xdr:cNvSpPr/>
      </xdr:nvSpPr>
      <xdr:spPr>
        <a:xfrm>
          <a:off x="11051081" y="1233656"/>
          <a:ext cx="4648393" cy="2740735"/>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346898</xdr:colOff>
      <xdr:row>22</xdr:row>
      <xdr:rowOff>118963</xdr:rowOff>
    </xdr:from>
    <xdr:to>
      <xdr:col>15</xdr:col>
      <xdr:colOff>171718</xdr:colOff>
      <xdr:row>35</xdr:row>
      <xdr:rowOff>134940</xdr:rowOff>
    </xdr:to>
    <xdr:sp macro="" textlink="">
      <xdr:nvSpPr>
        <xdr:cNvPr id="238" name="Rectangle: Rounded Corners 237">
          <a:extLst>
            <a:ext uri="{FF2B5EF4-FFF2-40B4-BE49-F238E27FC236}">
              <a16:creationId xmlns:a16="http://schemas.microsoft.com/office/drawing/2014/main" id="{57F23BD1-9FF4-46CC-B374-E91826FB97B8}"/>
            </a:ext>
          </a:extLst>
        </xdr:cNvPr>
        <xdr:cNvSpPr/>
      </xdr:nvSpPr>
      <xdr:spPr>
        <a:xfrm>
          <a:off x="6430608" y="4174769"/>
          <a:ext cx="2866675" cy="2412590"/>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93308</xdr:colOff>
      <xdr:row>6</xdr:row>
      <xdr:rowOff>144162</xdr:rowOff>
    </xdr:from>
    <xdr:to>
      <xdr:col>10</xdr:col>
      <xdr:colOff>200526</xdr:colOff>
      <xdr:row>15</xdr:row>
      <xdr:rowOff>173183</xdr:rowOff>
    </xdr:to>
    <xdr:graphicFrame macro="">
      <xdr:nvGraphicFramePr>
        <xdr:cNvPr id="10" name="REVENUE_BY_REGION">
          <a:extLst>
            <a:ext uri="{FF2B5EF4-FFF2-40B4-BE49-F238E27FC236}">
              <a16:creationId xmlns:a16="http://schemas.microsoft.com/office/drawing/2014/main" id="{D042C4A9-E009-4F26-A5C5-4600F6A13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128152</xdr:colOff>
      <xdr:row>6</xdr:row>
      <xdr:rowOff>131591</xdr:rowOff>
    </xdr:from>
    <xdr:to>
      <xdr:col>25</xdr:col>
      <xdr:colOff>518831</xdr:colOff>
      <xdr:row>21</xdr:row>
      <xdr:rowOff>152400</xdr:rowOff>
    </xdr:to>
    <xdr:graphicFrame macro="">
      <xdr:nvGraphicFramePr>
        <xdr:cNvPr id="12" name="SALES_BY_MONTHLY/QUATERLY">
          <a:extLst>
            <a:ext uri="{FF2B5EF4-FFF2-40B4-BE49-F238E27FC236}">
              <a16:creationId xmlns:a16="http://schemas.microsoft.com/office/drawing/2014/main" id="{6786C9CB-79C3-4027-A4AB-0FFA54EAD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335524</xdr:colOff>
      <xdr:row>22</xdr:row>
      <xdr:rowOff>98948</xdr:rowOff>
    </xdr:from>
    <xdr:to>
      <xdr:col>15</xdr:col>
      <xdr:colOff>171718</xdr:colOff>
      <xdr:row>35</xdr:row>
      <xdr:rowOff>121920</xdr:rowOff>
    </xdr:to>
    <xdr:graphicFrame macro="">
      <xdr:nvGraphicFramePr>
        <xdr:cNvPr id="13" name="PIE CHART">
          <a:extLst>
            <a:ext uri="{FF2B5EF4-FFF2-40B4-BE49-F238E27FC236}">
              <a16:creationId xmlns:a16="http://schemas.microsoft.com/office/drawing/2014/main" id="{33714472-9419-4576-BDF2-4D765706A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355742</xdr:colOff>
      <xdr:row>6</xdr:row>
      <xdr:rowOff>136702</xdr:rowOff>
    </xdr:from>
    <xdr:to>
      <xdr:col>17</xdr:col>
      <xdr:colOff>567070</xdr:colOff>
      <xdr:row>21</xdr:row>
      <xdr:rowOff>165486</xdr:rowOff>
    </xdr:to>
    <xdr:sp macro="" textlink="">
      <xdr:nvSpPr>
        <xdr:cNvPr id="14" name="Rectangle: Rounded Corners 13">
          <a:extLst>
            <a:ext uri="{FF2B5EF4-FFF2-40B4-BE49-F238E27FC236}">
              <a16:creationId xmlns:a16="http://schemas.microsoft.com/office/drawing/2014/main" id="{430AE0EC-4CEC-4FAC-9DEE-551F9270CA64}"/>
            </a:ext>
          </a:extLst>
        </xdr:cNvPr>
        <xdr:cNvSpPr/>
      </xdr:nvSpPr>
      <xdr:spPr>
        <a:xfrm>
          <a:off x="6439452" y="1242831"/>
          <a:ext cx="4469924" cy="2794107"/>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353903</xdr:colOff>
      <xdr:row>6</xdr:row>
      <xdr:rowOff>146065</xdr:rowOff>
    </xdr:from>
    <xdr:to>
      <xdr:col>17</xdr:col>
      <xdr:colOff>569576</xdr:colOff>
      <xdr:row>21</xdr:row>
      <xdr:rowOff>166318</xdr:rowOff>
    </xdr:to>
    <xdr:graphicFrame macro="">
      <xdr:nvGraphicFramePr>
        <xdr:cNvPr id="16" name="RETURN_RATE_BY_REGION">
          <a:extLst>
            <a:ext uri="{FF2B5EF4-FFF2-40B4-BE49-F238E27FC236}">
              <a16:creationId xmlns:a16="http://schemas.microsoft.com/office/drawing/2014/main" id="{FD8427A5-8727-4C9B-966E-10202C443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278103</xdr:colOff>
      <xdr:row>22</xdr:row>
      <xdr:rowOff>117810</xdr:rowOff>
    </xdr:from>
    <xdr:to>
      <xdr:col>20</xdr:col>
      <xdr:colOff>348074</xdr:colOff>
      <xdr:row>35</xdr:row>
      <xdr:rowOff>136408</xdr:rowOff>
    </xdr:to>
    <xdr:sp macro="" textlink="">
      <xdr:nvSpPr>
        <xdr:cNvPr id="17" name="Rectangle: Rounded Corners 16">
          <a:extLst>
            <a:ext uri="{FF2B5EF4-FFF2-40B4-BE49-F238E27FC236}">
              <a16:creationId xmlns:a16="http://schemas.microsoft.com/office/drawing/2014/main" id="{9B80C709-0964-4743-81EA-9F82FF33E74A}"/>
            </a:ext>
          </a:extLst>
        </xdr:cNvPr>
        <xdr:cNvSpPr/>
      </xdr:nvSpPr>
      <xdr:spPr>
        <a:xfrm>
          <a:off x="9450325" y="4153588"/>
          <a:ext cx="3127379" cy="2403376"/>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278103</xdr:colOff>
      <xdr:row>22</xdr:row>
      <xdr:rowOff>117810</xdr:rowOff>
    </xdr:from>
    <xdr:to>
      <xdr:col>20</xdr:col>
      <xdr:colOff>343370</xdr:colOff>
      <xdr:row>35</xdr:row>
      <xdr:rowOff>127000</xdr:rowOff>
    </xdr:to>
    <xdr:graphicFrame macro="">
      <xdr:nvGraphicFramePr>
        <xdr:cNvPr id="20" name="REVENUE_BY_SALES_PERSON">
          <a:extLst>
            <a:ext uri="{FF2B5EF4-FFF2-40B4-BE49-F238E27FC236}">
              <a16:creationId xmlns:a16="http://schemas.microsoft.com/office/drawing/2014/main" id="{D67116EA-CD16-4322-B364-688ECD34D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441321</xdr:colOff>
      <xdr:row>22</xdr:row>
      <xdr:rowOff>125367</xdr:rowOff>
    </xdr:from>
    <xdr:to>
      <xdr:col>25</xdr:col>
      <xdr:colOff>520013</xdr:colOff>
      <xdr:row>35</xdr:row>
      <xdr:rowOff>141344</xdr:rowOff>
    </xdr:to>
    <xdr:sp macro="" textlink="">
      <xdr:nvSpPr>
        <xdr:cNvPr id="23" name="Rectangle: Rounded Corners 22">
          <a:extLst>
            <a:ext uri="{FF2B5EF4-FFF2-40B4-BE49-F238E27FC236}">
              <a16:creationId xmlns:a16="http://schemas.microsoft.com/office/drawing/2014/main" id="{8AC7EC1C-A663-4FE5-B34C-61636B82725A}"/>
            </a:ext>
          </a:extLst>
        </xdr:cNvPr>
        <xdr:cNvSpPr/>
      </xdr:nvSpPr>
      <xdr:spPr>
        <a:xfrm>
          <a:off x="12592132" y="4203097"/>
          <a:ext cx="3116395" cy="2425544"/>
        </a:xfrm>
        <a:prstGeom prst="roundRect">
          <a:avLst>
            <a:gd name="adj" fmla="val 7376"/>
          </a:avLst>
        </a:prstGeom>
        <a:solidFill>
          <a:srgbClr val="0070C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112057</xdr:colOff>
      <xdr:row>1</xdr:row>
      <xdr:rowOff>67745</xdr:rowOff>
    </xdr:from>
    <xdr:to>
      <xdr:col>29</xdr:col>
      <xdr:colOff>130969</xdr:colOff>
      <xdr:row>36</xdr:row>
      <xdr:rowOff>66937</xdr:rowOff>
    </xdr:to>
    <xdr:sp macro="" textlink="">
      <xdr:nvSpPr>
        <xdr:cNvPr id="36" name="Rectangle: Top Corners Rounded 35">
          <a:extLst>
            <a:ext uri="{FF2B5EF4-FFF2-40B4-BE49-F238E27FC236}">
              <a16:creationId xmlns:a16="http://schemas.microsoft.com/office/drawing/2014/main" id="{03E55830-AA2C-421C-938B-AE31DDDBDD54}"/>
            </a:ext>
          </a:extLst>
        </xdr:cNvPr>
        <xdr:cNvSpPr/>
      </xdr:nvSpPr>
      <xdr:spPr>
        <a:xfrm rot="5400000">
          <a:off x="13625006" y="2467149"/>
          <a:ext cx="6274486" cy="1834265"/>
        </a:xfrm>
        <a:prstGeom prst="round2SameRect">
          <a:avLst>
            <a:gd name="adj1" fmla="val 5516"/>
            <a:gd name="adj2" fmla="val 1419"/>
          </a:avLst>
        </a:prstGeom>
        <a:solidFill>
          <a:srgbClr val="0070C0"/>
        </a:solidFill>
        <a:ln>
          <a:solidFill>
            <a:srgbClr val="0070C0"/>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26</xdr:col>
      <xdr:colOff>217886</xdr:colOff>
      <xdr:row>16</xdr:row>
      <xdr:rowOff>173121</xdr:rowOff>
    </xdr:from>
    <xdr:to>
      <xdr:col>29</xdr:col>
      <xdr:colOff>25142</xdr:colOff>
      <xdr:row>26</xdr:row>
      <xdr:rowOff>86402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C131116-A3EB-9D61-18FC-7F9714CBC9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067486" y="3099201"/>
              <a:ext cx="1636056" cy="1742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193162</xdr:colOff>
      <xdr:row>1</xdr:row>
      <xdr:rowOff>135999</xdr:rowOff>
    </xdr:from>
    <xdr:to>
      <xdr:col>29</xdr:col>
      <xdr:colOff>49865</xdr:colOff>
      <xdr:row>8</xdr:row>
      <xdr:rowOff>71606</xdr:rowOff>
    </xdr:to>
    <xdr:sp macro="" textlink="">
      <xdr:nvSpPr>
        <xdr:cNvPr id="38" name="TextBox 37">
          <a:extLst>
            <a:ext uri="{FF2B5EF4-FFF2-40B4-BE49-F238E27FC236}">
              <a16:creationId xmlns:a16="http://schemas.microsoft.com/office/drawing/2014/main" id="{A505B304-37B2-4FFB-0C3F-0AC160FCEDD4}"/>
            </a:ext>
          </a:extLst>
        </xdr:cNvPr>
        <xdr:cNvSpPr txBox="1"/>
      </xdr:nvSpPr>
      <xdr:spPr>
        <a:xfrm>
          <a:off x="15926221" y="315293"/>
          <a:ext cx="1672056" cy="119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n>
                <a:solidFill>
                  <a:srgbClr val="002060"/>
                </a:solidFill>
              </a:ln>
              <a:solidFill>
                <a:schemeClr val="bg1"/>
              </a:solidFill>
              <a:latin typeface="+mj-lt"/>
            </a:rPr>
            <a:t>Slicer</a:t>
          </a:r>
          <a:r>
            <a:rPr lang="en-IN" sz="2800" b="1" baseline="0">
              <a:ln>
                <a:solidFill>
                  <a:srgbClr val="002060"/>
                </a:solidFill>
              </a:ln>
              <a:solidFill>
                <a:schemeClr val="bg1"/>
              </a:solidFill>
              <a:latin typeface="+mj-lt"/>
            </a:rPr>
            <a:t> &amp; </a:t>
          </a:r>
        </a:p>
        <a:p>
          <a:pPr algn="ctr"/>
          <a:r>
            <a:rPr lang="en-IN" sz="2800" b="1" baseline="0">
              <a:ln>
                <a:solidFill>
                  <a:srgbClr val="002060"/>
                </a:solidFill>
              </a:ln>
              <a:solidFill>
                <a:schemeClr val="bg1"/>
              </a:solidFill>
              <a:latin typeface="+mj-lt"/>
            </a:rPr>
            <a:t>Timeline</a:t>
          </a:r>
          <a:endParaRPr lang="en-IN" sz="2800" b="1">
            <a:ln>
              <a:solidFill>
                <a:srgbClr val="002060"/>
              </a:solidFill>
            </a:ln>
            <a:solidFill>
              <a:schemeClr val="bg1"/>
            </a:solidFill>
            <a:latin typeface="+mj-lt"/>
          </a:endParaRPr>
        </a:p>
      </xdr:txBody>
    </xdr:sp>
    <xdr:clientData/>
  </xdr:twoCellAnchor>
  <xdr:twoCellAnchor>
    <xdr:from>
      <xdr:col>5</xdr:col>
      <xdr:colOff>102629</xdr:colOff>
      <xdr:row>16</xdr:row>
      <xdr:rowOff>59808</xdr:rowOff>
    </xdr:from>
    <xdr:to>
      <xdr:col>10</xdr:col>
      <xdr:colOff>180906</xdr:colOff>
      <xdr:row>35</xdr:row>
      <xdr:rowOff>148014</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A3027431-7CAF-4FA4-B1AB-ACAFCE6B0B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150629" y="2985888"/>
              <a:ext cx="3126277" cy="35629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440614</xdr:colOff>
      <xdr:row>22</xdr:row>
      <xdr:rowOff>118281</xdr:rowOff>
    </xdr:from>
    <xdr:to>
      <xdr:col>25</xdr:col>
      <xdr:colOff>518368</xdr:colOff>
      <xdr:row>35</xdr:row>
      <xdr:rowOff>134776</xdr:rowOff>
    </xdr:to>
    <xdr:graphicFrame macro="">
      <xdr:nvGraphicFramePr>
        <xdr:cNvPr id="18" name="Chart 17">
          <a:extLst>
            <a:ext uri="{FF2B5EF4-FFF2-40B4-BE49-F238E27FC236}">
              <a16:creationId xmlns:a16="http://schemas.microsoft.com/office/drawing/2014/main" id="{AF2003B8-EF5C-4117-B72C-3D5516588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26</xdr:col>
      <xdr:colOff>198555</xdr:colOff>
      <xdr:row>8</xdr:row>
      <xdr:rowOff>153740</xdr:rowOff>
    </xdr:from>
    <xdr:to>
      <xdr:col>29</xdr:col>
      <xdr:colOff>44472</xdr:colOff>
      <xdr:row>16</xdr:row>
      <xdr:rowOff>90987</xdr:rowOff>
    </xdr:to>
    <mc:AlternateContent xmlns:mc="http://schemas.openxmlformats.org/markup-compatibility/2006">
      <mc:Choice xmlns:tsle="http://schemas.microsoft.com/office/drawing/2012/timeslicer" Requires="tsle">
        <xdr:graphicFrame macro="">
          <xdr:nvGraphicFramePr>
            <xdr:cNvPr id="21" name="Date">
              <a:extLst>
                <a:ext uri="{FF2B5EF4-FFF2-40B4-BE49-F238E27FC236}">
                  <a16:creationId xmlns:a16="http://schemas.microsoft.com/office/drawing/2014/main" id="{A4BB7EED-2617-47C9-2DF8-D114B1BF911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6048155" y="1616780"/>
              <a:ext cx="1674717" cy="14002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210853</xdr:colOff>
      <xdr:row>26</xdr:row>
      <xdr:rowOff>168536</xdr:rowOff>
    </xdr:from>
    <xdr:to>
      <xdr:col>29</xdr:col>
      <xdr:colOff>32175</xdr:colOff>
      <xdr:row>35</xdr:row>
      <xdr:rowOff>122115</xdr:rowOff>
    </xdr:to>
    <mc:AlternateContent xmlns:mc="http://schemas.openxmlformats.org/markup-compatibility/2006">
      <mc:Choice xmlns:a14="http://schemas.microsoft.com/office/drawing/2010/main" Requires="a14">
        <xdr:graphicFrame macro="">
          <xdr:nvGraphicFramePr>
            <xdr:cNvPr id="22" name="Product">
              <a:extLst>
                <a:ext uri="{FF2B5EF4-FFF2-40B4-BE49-F238E27FC236}">
                  <a16:creationId xmlns:a16="http://schemas.microsoft.com/office/drawing/2014/main" id="{27ECDFCA-F65E-06B7-F26F-F73AC97F59E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6060453" y="4923416"/>
              <a:ext cx="1650122" cy="1599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ushik" refreshedDate="46160.875254861108" createdVersion="5" refreshedVersion="8" minRefreshableVersion="3" recordCount="0" supportSubquery="1" supportAdvancedDrill="1" xr:uid="{ECD9B922-826D-46A5-AF68-61121BC79E3F}">
  <cacheSource type="external" connectionId="1"/>
  <cacheFields count="2">
    <cacheField name="[Measures].[TotalRevenue]" caption="TotalRevenue" numFmtId="0" hierarchy="26" level="32767"/>
    <cacheField name="[Table1].[Region].[Region]" caption="Region" numFmtId="0" hierarchy="1" level="1">
      <sharedItems count="5">
        <s v="Central"/>
        <s v="East"/>
        <s v="North"/>
        <s v="South"/>
        <s v="West"/>
      </sharedItems>
    </cacheField>
  </cacheFields>
  <cacheHierarchies count="41">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DeliveryDays]" caption="DeliveryDays" attribute="1" defaultMemberUniqueName="[Table1].[DeliveryDays].[All]" allUniqueName="[Table1].[DeliveryDays].[All]" dimensionUniqueName="[Table1]" displayFolder="" count="2" memberValueDatatype="5" unbalanced="0"/>
    <cacheHierarchy uniqueName="[Table1].[DiscountAmount]" caption="DiscountAmount" attribute="1" defaultMemberUniqueName="[Table1].[DiscountAmount].[All]" allUniqueName="[Table1].[DiscountAmount].[All]" dimensionUniqueName="[Table1]" displayFolder="" count="2" memberValueDatatype="5" unbalanced="0"/>
    <cacheHierarchy uniqueName="[Table1].[NetRevenue]" caption="NetRevenue" attribute="1" defaultMemberUniqueName="[Table1].[NetRevenue].[All]" allUniqueName="[Table1].[NetRevenue].[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TotalRevenue]" caption="TotalRevenue" measure="1" displayFolder="" measureGroup="Table1" count="0" oneField="1">
      <fieldsUsage count="1">
        <fieldUsage x="0"/>
      </fieldsUsage>
    </cacheHierarchy>
    <cacheHierarchy uniqueName="[Measures].[AverageOrderValue]" caption="AverageOrderValue" measure="1" displayFolder="" measureGroup="Table1" count="0"/>
    <cacheHierarchy uniqueName="[Measures].[ReturnRate]" caption="ReturnRate" measure="1" displayFolder="" measureGroup="Table1" count="0"/>
    <cacheHierarchy uniqueName="[Measures].[AverageDiscount]" caption="AverageDiscount" measure="1" displayFolder="" measureGroup="Table1" count="0"/>
    <cacheHierarchy uniqueName="[Measures].[NetRevenueCost]" caption="NetRevenueCost" measure="1" displayFolder="" measureGroup="Table1" count="0"/>
    <cacheHierarchy uniqueName="[Measures].[AverageShippingCost]" caption="AverageShippingCost" measure="1" displayFolder="" measureGroup="Table1" count="0"/>
    <cacheHierarchy uniqueName="[Measures].[AverageDeliveryDays]" caption="AverageDelivery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Average of Returned]" caption="Average of Returned"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ushik" refreshedDate="46160.875255555555" createdVersion="5" refreshedVersion="8" minRefreshableVersion="3" recordCount="0" supportSubquery="1" supportAdvancedDrill="1" xr:uid="{FC5E5AC1-C60E-464C-8271-152A61335E8C}">
  <cacheSource type="external" connectionId="1"/>
  <cacheFields count="4">
    <cacheField name="[Measures].[Sum of TotalPrice]" caption="Sum of TotalPrice" numFmtId="0" hierarchy="35" level="32767"/>
    <cacheField name="[Table1].[Date (Month)].[Date (Month)]" caption="Date (Month)" numFmtId="0" hierarchy="24" level="1">
      <sharedItems count="12">
        <s v="Jan"/>
        <s v="Feb"/>
        <s v="Mar"/>
        <s v="Apr"/>
        <s v="May"/>
        <s v="Jun"/>
        <s v="Jul"/>
        <s v="Aug"/>
        <s v="Sep"/>
        <s v="Oct"/>
        <s v="Nov"/>
        <s v="Dec"/>
      </sharedItems>
    </cacheField>
    <cacheField name="[Table1].[Date (Quarter)].[Date (Quarter)]" caption="Date (Quarter)" numFmtId="0" hierarchy="23" level="1">
      <sharedItems count="4">
        <s v="Qtr1"/>
        <s v="Qtr2"/>
        <s v="Qtr3"/>
        <s v="Qtr4"/>
      </sharedItems>
    </cacheField>
    <cacheField name="[Table1].[Region].[Region]" caption="Region" numFmtId="0" hierarchy="1"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DeliveryDays]" caption="DeliveryDays" attribute="1" defaultMemberUniqueName="[Table1].[DeliveryDays].[All]" allUniqueName="[Table1].[DeliveryDays].[All]" dimensionUniqueName="[Table1]" displayFolder="" count="2" memberValueDatatype="5" unbalanced="0"/>
    <cacheHierarchy uniqueName="[Table1].[DiscountAmount]" caption="DiscountAmount" attribute="1" defaultMemberUniqueName="[Table1].[DiscountAmount].[All]" allUniqueName="[Table1].[DiscountAmount].[All]" dimensionUniqueName="[Table1]" displayFolder="" count="2" memberValueDatatype="5" unbalanced="0"/>
    <cacheHierarchy uniqueName="[Table1].[NetRevenue]" caption="NetRevenue" attribute="1" defaultMemberUniqueName="[Table1].[NetRevenue].[All]" allUniqueName="[Table1].[NetRevenue].[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TotalRevenue]" caption="TotalRevenue" measure="1" displayFolder="" measureGroup="Table1" count="0"/>
    <cacheHierarchy uniqueName="[Measures].[AverageOrderValue]" caption="AverageOrderValue" measure="1" displayFolder="" measureGroup="Table1" count="0"/>
    <cacheHierarchy uniqueName="[Measures].[ReturnRate]" caption="ReturnRate" measure="1" displayFolder="" measureGroup="Table1" count="0"/>
    <cacheHierarchy uniqueName="[Measures].[AverageDiscount]" caption="AverageDiscount" measure="1" displayFolder="" measureGroup="Table1" count="0"/>
    <cacheHierarchy uniqueName="[Measures].[NetRevenueCost]" caption="NetRevenueCost" measure="1" displayFolder="" measureGroup="Table1" count="0"/>
    <cacheHierarchy uniqueName="[Measures].[AverageShippingCost]" caption="AverageShippingCost" measure="1" displayFolder="" measureGroup="Table1" count="0"/>
    <cacheHierarchy uniqueName="[Measures].[AverageDeliveryDays]" caption="AverageDelivery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Average of Returned]" caption="Average of Returned"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ushik" refreshedDate="46160.875256018517" createdVersion="5" refreshedVersion="8" minRefreshableVersion="3" recordCount="0" supportSubquery="1" supportAdvancedDrill="1" xr:uid="{2E3E0838-28F9-432A-9E8E-08BFD98C79F1}">
  <cacheSource type="external" connectionId="1"/>
  <cacheFields count="3">
    <cacheField name="[Table1].[PaymentMethod].[PaymentMethod]" caption="PaymentMethod" numFmtId="0" hierarchy="10" level="1">
      <sharedItems count="5">
        <s v="Cash"/>
        <s v="Credit Card"/>
        <s v="Debit Card"/>
        <s v="Gift Card"/>
        <s v="Online"/>
      </sharedItems>
    </cacheField>
    <cacheField name="[Measures].[Count of PaymentMethod]" caption="Count of PaymentMethod" numFmtId="0" hierarchy="37" level="32767"/>
    <cacheField name="[Table1].[Region].[Region]" caption="Region" numFmtId="0" hierarchy="1"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fieldsUsage count="2">
        <fieldUsage x="-1"/>
        <fieldUsage x="0"/>
      </fieldsUsage>
    </cacheHierarchy>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DeliveryDays]" caption="DeliveryDays" attribute="1" defaultMemberUniqueName="[Table1].[DeliveryDays].[All]" allUniqueName="[Table1].[DeliveryDays].[All]" dimensionUniqueName="[Table1]" displayFolder="" count="0" memberValueDatatype="5"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NetRevenue]" caption="NetRevenue" attribute="1" defaultMemberUniqueName="[Table1].[NetRevenue].[All]" allUniqueName="[Table1].[NetRevenu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Revenue]" caption="TotalRevenue" measure="1" displayFolder="" measureGroup="Table1" count="0"/>
    <cacheHierarchy uniqueName="[Measures].[AverageOrderValue]" caption="AverageOrderValue" measure="1" displayFolder="" measureGroup="Table1" count="0"/>
    <cacheHierarchy uniqueName="[Measures].[ReturnRate]" caption="ReturnRate" measure="1" displayFolder="" measureGroup="Table1" count="0"/>
    <cacheHierarchy uniqueName="[Measures].[AverageDiscount]" caption="AverageDiscount" measure="1" displayFolder="" measureGroup="Table1" count="0"/>
    <cacheHierarchy uniqueName="[Measures].[NetRevenueCost]" caption="NetRevenueCost" measure="1" displayFolder="" measureGroup="Table1" count="0"/>
    <cacheHierarchy uniqueName="[Measures].[AverageShippingCost]" caption="AverageShippingCost" measure="1" displayFolder="" measureGroup="Table1" count="0"/>
    <cacheHierarchy uniqueName="[Measures].[AverageDeliveryDays]" caption="AverageDelivery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PaymentMethod]" caption="Count of PaymentMethod"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Average of Returned]" caption="Average of Returned"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ushik" refreshedDate="46160.875256481479" createdVersion="5" refreshedVersion="8" minRefreshableVersion="3" recordCount="0" supportSubquery="1" supportAdvancedDrill="1" xr:uid="{422490AB-926D-4DBD-830F-E97498EFAFE2}">
  <cacheSource type="external" connectionId="1"/>
  <cacheFields count="2">
    <cacheField name="[Table1].[Region].[Region]" caption="Region" numFmtId="0" hierarchy="1" level="1">
      <sharedItems count="5">
        <s v="Central"/>
        <s v="East"/>
        <s v="North"/>
        <s v="South"/>
        <s v="West"/>
      </sharedItems>
    </cacheField>
    <cacheField name="[Measures].[Sum of Returned]" caption="Sum of Returned" numFmtId="0" hierarchy="39" level="32767"/>
  </cacheFields>
  <cacheHierarchies count="41">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DeliveryDays]" caption="DeliveryDays" attribute="1" defaultMemberUniqueName="[Table1].[DeliveryDays].[All]" allUniqueName="[Table1].[DeliveryDays].[All]" dimensionUniqueName="[Table1]" displayFolder="" count="0" memberValueDatatype="5"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NetRevenue]" caption="NetRevenue" attribute="1" defaultMemberUniqueName="[Table1].[NetRevenue].[All]" allUniqueName="[Table1].[NetRevenu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Revenue]" caption="TotalRevenue" measure="1" displayFolder="" measureGroup="Table1" count="0"/>
    <cacheHierarchy uniqueName="[Measures].[AverageOrderValue]" caption="AverageOrderValue" measure="1" displayFolder="" measureGroup="Table1" count="0"/>
    <cacheHierarchy uniqueName="[Measures].[ReturnRate]" caption="ReturnRate" measure="1" displayFolder="" measureGroup="Table1" count="0"/>
    <cacheHierarchy uniqueName="[Measures].[AverageDiscount]" caption="AverageDiscount" measure="1" displayFolder="" measureGroup="Table1" count="0"/>
    <cacheHierarchy uniqueName="[Measures].[NetRevenueCost]" caption="NetRevenueCost" measure="1" displayFolder="" measureGroup="Table1" count="0"/>
    <cacheHierarchy uniqueName="[Measures].[AverageShippingCost]" caption="AverageShippingCost" measure="1" displayFolder="" measureGroup="Table1" count="0"/>
    <cacheHierarchy uniqueName="[Measures].[AverageDeliveryDays]" caption="AverageDelivery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Sum of Returned]" caption="Sum of Returned"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Returned]" caption="Average of Returned"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ushik" refreshedDate="46160.875256944448" createdVersion="5" refreshedVersion="8" minRefreshableVersion="3" recordCount="0" supportSubquery="1" supportAdvancedDrill="1" xr:uid="{98CCD440-9D9C-4C77-B432-562E2DD63CD8}">
  <cacheSource type="external" connectionId="1"/>
  <cacheFields count="4">
    <cacheField name="[Table1].[Promotion].[Promotion]" caption="Promotion" numFmtId="0" hierarchy="11" level="1">
      <sharedItems count="4">
        <s v="FREESHIP"/>
        <s v="N/A"/>
        <s v="SAVE10"/>
        <s v="WINTER15"/>
      </sharedItems>
    </cacheField>
    <cacheField name="[Measures].[Sum of TotalPrice]" caption="Sum of TotalPrice" numFmtId="0" hierarchy="35" level="32767"/>
    <cacheField name="[Measures].[Sum of Returned]" caption="Sum of Returned" numFmtId="0" hierarchy="39" level="32767"/>
    <cacheField name="[Table1].[Region].[Region]" caption="Region" numFmtId="0" hierarchy="1"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2" memberValueDatatype="130" unbalanced="0">
      <fieldsUsage count="2">
        <fieldUsage x="-1"/>
        <fieldUsage x="0"/>
      </fieldsUsage>
    </cacheHierarchy>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DeliveryDays]" caption="DeliveryDays" attribute="1" defaultMemberUniqueName="[Table1].[DeliveryDays].[All]" allUniqueName="[Table1].[DeliveryDays].[All]" dimensionUniqueName="[Table1]" displayFolder="" count="0" memberValueDatatype="5"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NetRevenue]" caption="NetRevenue" attribute="1" defaultMemberUniqueName="[Table1].[NetRevenue].[All]" allUniqueName="[Table1].[NetRevenu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Revenue]" caption="TotalRevenue" measure="1" displayFolder="" measureGroup="Table1" count="0"/>
    <cacheHierarchy uniqueName="[Measures].[AverageOrderValue]" caption="AverageOrderValue" measure="1" displayFolder="" measureGroup="Table1" count="0"/>
    <cacheHierarchy uniqueName="[Measures].[ReturnRate]" caption="ReturnRate" measure="1" displayFolder="" measureGroup="Table1" count="0"/>
    <cacheHierarchy uniqueName="[Measures].[AverageDiscount]" caption="AverageDiscount" measure="1" displayFolder="" measureGroup="Table1" count="0"/>
    <cacheHierarchy uniqueName="[Measures].[NetRevenueCost]" caption="NetRevenueCost" measure="1" displayFolder="" measureGroup="Table1" count="0"/>
    <cacheHierarchy uniqueName="[Measures].[AverageShippingCost]" caption="AverageShippingCost" measure="1" displayFolder="" measureGroup="Table1" count="0"/>
    <cacheHierarchy uniqueName="[Measures].[AverageDeliveryDays]" caption="AverageDelivery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Sum of Returned]" caption="Sum of Returned"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Returned]" caption="Average of Returned"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ushik" refreshedDate="46160.875257291664" createdVersion="5" refreshedVersion="8" minRefreshableVersion="3" recordCount="0" supportSubquery="1" supportAdvancedDrill="1" xr:uid="{6E852904-EDEA-4299-856F-803A6465D84D}">
  <cacheSource type="external" connectionId="1"/>
  <cacheFields count="8">
    <cacheField name="[Measures].[TotalRevenue]" caption="TotalRevenue" numFmtId="0" hierarchy="26" level="32767"/>
    <cacheField name="[Measures].[NetRevenueCost]" caption="NetRevenueCost" numFmtId="0" hierarchy="30" level="32767"/>
    <cacheField name="[Measures].[AverageOrderValue]" caption="AverageOrderValue" numFmtId="0" hierarchy="27" level="32767"/>
    <cacheField name="[Measures].[AverageDiscount]" caption="AverageDiscount" numFmtId="0" hierarchy="29" level="32767"/>
    <cacheField name="[Measures].[AverageShippingCost]" caption="AverageShippingCost" numFmtId="0" hierarchy="31" level="32767"/>
    <cacheField name="[Measures].[ReturnRate]" caption="ReturnRate" numFmtId="0" hierarchy="28" level="32767"/>
    <cacheField name="[Measures].[AverageDeliveryDays]" caption="AverageDeliveryDays" numFmtId="0" hierarchy="32" level="32767"/>
    <cacheField name="[Table1].[Region].[Region]" caption="Region" numFmtId="0" hierarchy="1"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7"/>
      </fieldsUsage>
    </cacheHierarchy>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DeliveryDays]" caption="DeliveryDays" attribute="1" defaultMemberUniqueName="[Table1].[DeliveryDays].[All]" allUniqueName="[Table1].[DeliveryDays].[All]" dimensionUniqueName="[Table1]" displayFolder="" count="0" memberValueDatatype="5"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NetRevenue]" caption="NetRevenue" attribute="1" defaultMemberUniqueName="[Table1].[NetRevenue].[All]" allUniqueName="[Table1].[NetRevenu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Revenue]" caption="TotalRevenue" measure="1" displayFolder="" measureGroup="Table1" count="0" oneField="1">
      <fieldsUsage count="1">
        <fieldUsage x="0"/>
      </fieldsUsage>
    </cacheHierarchy>
    <cacheHierarchy uniqueName="[Measures].[AverageOrderValue]" caption="AverageOrderValue" measure="1" displayFolder="" measureGroup="Table1" count="0" oneField="1">
      <fieldsUsage count="1">
        <fieldUsage x="2"/>
      </fieldsUsage>
    </cacheHierarchy>
    <cacheHierarchy uniqueName="[Measures].[ReturnRate]" caption="ReturnRate" measure="1" displayFolder="" measureGroup="Table1" count="0" oneField="1">
      <fieldsUsage count="1">
        <fieldUsage x="5"/>
      </fieldsUsage>
    </cacheHierarchy>
    <cacheHierarchy uniqueName="[Measures].[AverageDiscount]" caption="AverageDiscount" measure="1" displayFolder="" measureGroup="Table1" count="0" oneField="1">
      <fieldsUsage count="1">
        <fieldUsage x="3"/>
      </fieldsUsage>
    </cacheHierarchy>
    <cacheHierarchy uniqueName="[Measures].[NetRevenueCost]" caption="NetRevenueCost" measure="1" displayFolder="" measureGroup="Table1" count="0" oneField="1">
      <fieldsUsage count="1">
        <fieldUsage x="1"/>
      </fieldsUsage>
    </cacheHierarchy>
    <cacheHierarchy uniqueName="[Measures].[AverageShippingCost]" caption="AverageShippingCost" measure="1" displayFolder="" measureGroup="Table1" count="0" oneField="1">
      <fieldsUsage count="1">
        <fieldUsage x="4"/>
      </fieldsUsage>
    </cacheHierarchy>
    <cacheHierarchy uniqueName="[Measures].[AverageDeliveryDays]" caption="AverageDeliveryDays" measure="1" displayFolder="" measureGroup="Table1" count="0" oneField="1">
      <fieldsUsage count="1">
        <fieldUsage x="6"/>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Average of Returned]" caption="Average of Returned"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ushik" refreshedDate="46160.875257754633" createdVersion="5" refreshedVersion="8" minRefreshableVersion="3" recordCount="0" supportSubquery="1" supportAdvancedDrill="1" xr:uid="{1100F063-81B6-413B-BE62-BD06587218F6}">
  <cacheSource type="external" connectionId="1"/>
  <cacheFields count="3">
    <cacheField name="[Table1].[Product].[Product]" caption="Product" numFmtId="0" hierarchy="2" level="1">
      <sharedItems count="7">
        <s v="Chair"/>
        <s v="Desk"/>
        <s v="Laptop"/>
        <s v="Monitor"/>
        <s v="Phone"/>
        <s v="Printer"/>
        <s v="Tablet"/>
      </sharedItems>
    </cacheField>
    <cacheField name="[Measures].[Sum of TotalPrice]" caption="Sum of TotalPrice" numFmtId="0" hierarchy="35" level="32767"/>
    <cacheField name="[Table1].[Region].[Region]" caption="Region" numFmtId="0" hierarchy="1"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DeliveryDays]" caption="DeliveryDays" attribute="1" defaultMemberUniqueName="[Table1].[DeliveryDays].[All]" allUniqueName="[Table1].[DeliveryDays].[All]" dimensionUniqueName="[Table1]" displayFolder="" count="2" memberValueDatatype="5" unbalanced="0"/>
    <cacheHierarchy uniqueName="[Table1].[DiscountAmount]" caption="DiscountAmount" attribute="1" defaultMemberUniqueName="[Table1].[DiscountAmount].[All]" allUniqueName="[Table1].[DiscountAmount].[All]" dimensionUniqueName="[Table1]" displayFolder="" count="2" memberValueDatatype="5" unbalanced="0"/>
    <cacheHierarchy uniqueName="[Table1].[NetRevenue]" caption="NetRevenue" attribute="1" defaultMemberUniqueName="[Table1].[NetRevenue].[All]" allUniqueName="[Table1].[NetRevenue].[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TotalRevenue]" caption="TotalRevenue" measure="1" displayFolder="" measureGroup="Table1" count="0"/>
    <cacheHierarchy uniqueName="[Measures].[AverageOrderValue]" caption="AverageOrderValue" measure="1" displayFolder="" measureGroup="Table1" count="0"/>
    <cacheHierarchy uniqueName="[Measures].[ReturnRate]" caption="ReturnRate" measure="1" displayFolder="" measureGroup="Table1" count="0"/>
    <cacheHierarchy uniqueName="[Measures].[AverageDiscount]" caption="AverageDiscount" measure="1" displayFolder="" measureGroup="Table1" count="0"/>
    <cacheHierarchy uniqueName="[Measures].[NetRevenueCost]" caption="NetRevenueCost" measure="1" displayFolder="" measureGroup="Table1" count="0"/>
    <cacheHierarchy uniqueName="[Measures].[AverageShippingCost]" caption="AverageShippingCost" measure="1" displayFolder="" measureGroup="Table1" count="0"/>
    <cacheHierarchy uniqueName="[Measures].[AverageDeliveryDays]" caption="AverageDelivery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Average of Returned]" caption="Average of Returned"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ushik" refreshedDate="46160.875258217595" createdVersion="5" refreshedVersion="8" minRefreshableVersion="3" recordCount="0" supportSubquery="1" supportAdvancedDrill="1" xr:uid="{31F611A0-5C38-4610-96B3-3F7809270B5E}">
  <cacheSource type="external" connectionId="1"/>
  <cacheFields count="3">
    <cacheField name="[Table1].[Salesperson].[Salesperson]" caption="Salesperson" numFmtId="0" hierarchy="8" level="1">
      <sharedItems count="6">
        <s v="Alice"/>
        <s v="Bob"/>
        <s v="Carlos"/>
        <s v="Diana"/>
        <s v="Eva"/>
        <s v="Frank"/>
      </sharedItems>
    </cacheField>
    <cacheField name="[Measures].[Sum of TotalPrice]" caption="Sum of TotalPrice" numFmtId="0" hierarchy="35" level="32767"/>
    <cacheField name="[Table1].[Region].[Region]" caption="Region" numFmtId="0" hierarchy="1"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DeliveryDays]" caption="DeliveryDays" attribute="1" defaultMemberUniqueName="[Table1].[DeliveryDays].[All]" allUniqueName="[Table1].[DeliveryDays].[All]" dimensionUniqueName="[Table1]" displayFolder="" count="0" memberValueDatatype="5"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NetRevenue]" caption="NetRevenue" attribute="1" defaultMemberUniqueName="[Table1].[NetRevenue].[All]" allUniqueName="[Table1].[NetRevenu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Revenue]" caption="TotalRevenue" measure="1" displayFolder="" measureGroup="Table1" count="0"/>
    <cacheHierarchy uniqueName="[Measures].[AverageOrderValue]" caption="AverageOrderValue" measure="1" displayFolder="" measureGroup="Table1" count="0"/>
    <cacheHierarchy uniqueName="[Measures].[ReturnRate]" caption="ReturnRate" measure="1" displayFolder="" measureGroup="Table1" count="0"/>
    <cacheHierarchy uniqueName="[Measures].[AverageDiscount]" caption="AverageDiscount" measure="1" displayFolder="" measureGroup="Table1" count="0"/>
    <cacheHierarchy uniqueName="[Measures].[NetRevenueCost]" caption="NetRevenueCost" measure="1" displayFolder="" measureGroup="Table1" count="0"/>
    <cacheHierarchy uniqueName="[Measures].[AverageShippingCost]" caption="AverageShippingCost" measure="1" displayFolder="" measureGroup="Table1" count="0"/>
    <cacheHierarchy uniqueName="[Measures].[AverageDeliveryDays]" caption="AverageDelivery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Average of Returned]" caption="Average of Returned"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ushik" refreshedDate="46160.558776388891" createdVersion="3" refreshedVersion="8" minRefreshableVersion="3" recordCount="0" supportSubquery="1" supportAdvancedDrill="1" xr:uid="{7EC7647D-75A4-40F6-9FB0-820477AF3D3D}">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DeliveryDays]" caption="DeliveryDays" attribute="1" defaultMemberUniqueName="[Table1].[DeliveryDays].[All]" allUniqueName="[Table1].[DeliveryDays].[All]" dimensionUniqueName="[Table1]" displayFolder="" count="0" memberValueDatatype="5"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NetRevenue]" caption="NetRevenue" attribute="1" defaultMemberUniqueName="[Table1].[NetRevenue].[All]" allUniqueName="[Table1].[NetRevenu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Revenue]" caption="TotalRevenue" measure="1" displayFolder="" measureGroup="Table1" count="0"/>
    <cacheHierarchy uniqueName="[Measures].[AverageOrderValue]" caption="AverageOrderValue" measure="1" displayFolder="" measureGroup="Table1" count="0"/>
    <cacheHierarchy uniqueName="[Measures].[ReturnRate]" caption="ReturnRate" measure="1" displayFolder="" measureGroup="Table1" count="0"/>
    <cacheHierarchy uniqueName="[Measures].[AverageDiscount]" caption="AverageDiscount" measure="1" displayFolder="" measureGroup="Table1" count="0"/>
    <cacheHierarchy uniqueName="[Measures].[NetRevenueCost]" caption="NetRevenueCost" measure="1" displayFolder="" measureGroup="Table1" count="0"/>
    <cacheHierarchy uniqueName="[Measures].[AverageShippingCost]" caption="AverageShippingCost" measure="1" displayFolder="" measureGroup="Table1" count="0"/>
    <cacheHierarchy uniqueName="[Measures].[AverageDeliveryDays]" caption="AverageDelivery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Average of Returned]" caption="Average of Returned"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985813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ushik" refreshedDate="46160.71548402778" createdVersion="3" refreshedVersion="8" minRefreshableVersion="3" recordCount="0" supportSubquery="1" supportAdvancedDrill="1" xr:uid="{AE20C14A-0FF3-4D7E-B4E1-8739B5F03FE1}">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DeliveryDays]" caption="DeliveryDays" attribute="1" defaultMemberUniqueName="[Table1].[DeliveryDays].[All]" allUniqueName="[Table1].[DeliveryDays].[All]" dimensionUniqueName="[Table1]" displayFolder="" count="0" memberValueDatatype="5"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NetRevenue]" caption="NetRevenue" attribute="1" defaultMemberUniqueName="[Table1].[NetRevenue].[All]" allUniqueName="[Table1].[NetRevenu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Revenue]" caption="TotalRevenue" measure="1" displayFolder="" measureGroup="Table1" count="0"/>
    <cacheHierarchy uniqueName="[Measures].[AverageOrderValue]" caption="AverageOrderValue" measure="1" displayFolder="" measureGroup="Table1" count="0"/>
    <cacheHierarchy uniqueName="[Measures].[ReturnRate]" caption="ReturnRate" measure="1" displayFolder="" measureGroup="Table1" count="0"/>
    <cacheHierarchy uniqueName="[Measures].[AverageDiscount]" caption="AverageDiscount" measure="1" displayFolder="" measureGroup="Table1" count="0"/>
    <cacheHierarchy uniqueName="[Measures].[NetRevenueCost]" caption="NetRevenueCost" measure="1" displayFolder="" measureGroup="Table1" count="0"/>
    <cacheHierarchy uniqueName="[Measures].[AverageShippingCost]" caption="AverageShippingCost" measure="1" displayFolder="" measureGroup="Table1" count="0"/>
    <cacheHierarchy uniqueName="[Measures].[AverageDeliveryDays]" caption="AverageDeliveryDay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Average of Returned]" caption="Average of Returned"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3354120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FBA717-C306-4A67-9136-25B2C4E348D1}" name="PivotTable2" cacheId="99" applyNumberFormats="0" applyBorderFormats="0" applyFontFormats="0" applyPatternFormats="0" applyAlignmentFormats="0" applyWidthHeightFormats="1" dataCaption="Values" tag="1fb49811-74d0-42be-b3a5-fe2e358b40ef" updatedVersion="8" minRefreshableVersion="5" useAutoFormatting="1" subtotalHiddenItems="1" itemPrintTitles="1" createdVersion="5" indent="0" outline="1" outlineData="1" multipleFieldFilters="0">
  <location ref="C3:I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4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DCE805-C0B9-44D9-8320-03CED5AED862}" name="PivotTable16" cacheId="105" applyNumberFormats="0" applyBorderFormats="0" applyFontFormats="0" applyPatternFormats="0" applyAlignmentFormats="0" applyWidthHeightFormats="1" dataCaption="Values" tag="81fc2682-8cbe-47a3-a29f-1b10ce902dea" updatedVersion="8" minRefreshableVersion="5" useAutoFormatting="1" subtotalHiddenItems="1" itemPrintTitles="1" createdVersion="5" indent="0" outline="1" outlineData="1" multipleFieldFilters="0" chartFormat="127">
  <location ref="B115:C12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TotalPrice" fld="1" baseField="0" baseItem="0"/>
  </dataFields>
  <chartFormats count="2">
    <chartFormat chart="122" format="0" series="1">
      <pivotArea type="data" outline="0" fieldPosition="0">
        <references count="1">
          <reference field="4294967294" count="1" selected="0">
            <x v="0"/>
          </reference>
        </references>
      </pivotArea>
    </chartFormat>
    <chartFormat chart="126"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turned"/>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600CD3-D0B3-4DEB-B257-D018CCC4C6FE}" name="PivotTable13" cacheId="96" applyNumberFormats="0" applyBorderFormats="0" applyFontFormats="0" applyPatternFormats="0" applyAlignmentFormats="0" applyWidthHeightFormats="1" dataCaption="Values" tag="e8865cc6-8c58-4a42-b8a6-13e2a00000f4" updatedVersion="8" minRefreshableVersion="5" useAutoFormatting="1" subtotalHiddenItems="1" itemPrintTitles="1" createdVersion="5" indent="0" outline="1" outlineData="1" multipleFieldFilters="0" chartFormat="115">
  <location ref="B98:D103"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Returned" fld="2" baseField="0" baseItem="0"/>
    <dataField name="Sum of TotalPrice" fld="1" baseField="0" baseItem="0"/>
  </dataFields>
  <pivotHierarchies count="4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turned"/>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221BB2-1661-448B-9E9B-E5F94407B1E6}" name="PivotTable1" cacheId="84" applyNumberFormats="0" applyBorderFormats="0" applyFontFormats="0" applyPatternFormats="0" applyAlignmentFormats="0" applyWidthHeightFormats="1" dataCaption="Values" tag="80ee93b2-6b29-4f52-9823-4aa0c35f75f2" updatedVersion="8" minRefreshableVersion="5" subtotalHiddenItems="1" itemPrintTitles="1" createdVersion="5" indent="0" outline="1" outlineData="1" multipleFieldFilters="0" chartFormat="55">
  <location ref="B15:C21"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chartFormats count="3">
    <chartFormat chart="2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594137-BF07-4400-B07B-8183A5AFF927}" name="PivotTable11" cacheId="90" applyNumberFormats="0" applyBorderFormats="0" applyFontFormats="0" applyPatternFormats="0" applyAlignmentFormats="0" applyWidthHeightFormats="1" dataCaption="Values" tag="932da1ad-8f6f-4e7f-ba96-8bcbe841bea1" updatedVersion="8" minRefreshableVersion="5" useAutoFormatting="1" subtotalHiddenItems="1" itemPrintTitles="1" createdVersion="5" indent="0" outline="1" outlineData="1" multipleFieldFilters="0" chartFormat="104">
  <location ref="B66:C7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aymentMethod" fld="1" subtotal="count" baseField="0" baseItem="0"/>
  </dataFields>
  <chartFormats count="12">
    <chartFormat chart="99" format="0" series="1">
      <pivotArea type="data" outline="0" fieldPosition="0">
        <references count="1">
          <reference field="4294967294" count="1" selected="0">
            <x v="0"/>
          </reference>
        </references>
      </pivotArea>
    </chartFormat>
    <chartFormat chart="102" format="7" series="1">
      <pivotArea type="data" outline="0" fieldPosition="0">
        <references count="1">
          <reference field="4294967294" count="1" selected="0">
            <x v="0"/>
          </reference>
        </references>
      </pivotArea>
    </chartFormat>
    <chartFormat chart="102" format="8">
      <pivotArea type="data" outline="0" fieldPosition="0">
        <references count="2">
          <reference field="4294967294" count="1" selected="0">
            <x v="0"/>
          </reference>
          <reference field="0" count="1" selected="0">
            <x v="0"/>
          </reference>
        </references>
      </pivotArea>
    </chartFormat>
    <chartFormat chart="102" format="9">
      <pivotArea type="data" outline="0" fieldPosition="0">
        <references count="2">
          <reference field="4294967294" count="1" selected="0">
            <x v="0"/>
          </reference>
          <reference field="0" count="1" selected="0">
            <x v="1"/>
          </reference>
        </references>
      </pivotArea>
    </chartFormat>
    <chartFormat chart="102" format="10">
      <pivotArea type="data" outline="0" fieldPosition="0">
        <references count="2">
          <reference field="4294967294" count="1" selected="0">
            <x v="0"/>
          </reference>
          <reference field="0" count="1" selected="0">
            <x v="2"/>
          </reference>
        </references>
      </pivotArea>
    </chartFormat>
    <chartFormat chart="102" format="11">
      <pivotArea type="data" outline="0" fieldPosition="0">
        <references count="2">
          <reference field="4294967294" count="1" selected="0">
            <x v="0"/>
          </reference>
          <reference field="0" count="1" selected="0">
            <x v="3"/>
          </reference>
        </references>
      </pivotArea>
    </chartFormat>
    <chartFormat chart="102" format="12">
      <pivotArea type="data" outline="0" fieldPosition="0">
        <references count="2">
          <reference field="4294967294" count="1" selected="0">
            <x v="0"/>
          </reference>
          <reference field="0" count="1" selected="0">
            <x v="4"/>
          </reference>
        </references>
      </pivotArea>
    </chartFormat>
    <chartFormat chart="99" format="6">
      <pivotArea type="data" outline="0" fieldPosition="0">
        <references count="2">
          <reference field="4294967294" count="1" selected="0">
            <x v="0"/>
          </reference>
          <reference field="0" count="1" selected="0">
            <x v="0"/>
          </reference>
        </references>
      </pivotArea>
    </chartFormat>
    <chartFormat chart="99" format="7">
      <pivotArea type="data" outline="0" fieldPosition="0">
        <references count="2">
          <reference field="4294967294" count="1" selected="0">
            <x v="0"/>
          </reference>
          <reference field="0" count="1" selected="0">
            <x v="1"/>
          </reference>
        </references>
      </pivotArea>
    </chartFormat>
    <chartFormat chart="99" format="8">
      <pivotArea type="data" outline="0" fieldPosition="0">
        <references count="2">
          <reference field="4294967294" count="1" selected="0">
            <x v="0"/>
          </reference>
          <reference field="0" count="1" selected="0">
            <x v="2"/>
          </reference>
        </references>
      </pivotArea>
    </chartFormat>
    <chartFormat chart="99" format="9">
      <pivotArea type="data" outline="0" fieldPosition="0">
        <references count="2">
          <reference field="4294967294" count="1" selected="0">
            <x v="0"/>
          </reference>
          <reference field="0" count="1" selected="0">
            <x v="3"/>
          </reference>
        </references>
      </pivotArea>
    </chartFormat>
    <chartFormat chart="99" format="10">
      <pivotArea type="data" outline="0" fieldPosition="0">
        <references count="2">
          <reference field="4294967294" count="1" selected="0">
            <x v="0"/>
          </reference>
          <reference field="0" count="1" selected="0">
            <x v="4"/>
          </reference>
        </references>
      </pivotArea>
    </chartFormat>
  </chartFormats>
  <pivotHierarchies count="4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59C46E-8BF3-443B-9DCD-BC8C7AF2A6C7}" name="PivotTable10" cacheId="87" applyNumberFormats="0" applyBorderFormats="0" applyFontFormats="0" applyPatternFormats="0" applyAlignmentFormats="0" applyWidthHeightFormats="1" dataCaption="Values" tag="095c8965-d354-42b4-bc8b-e1c8bb79d166" updatedVersion="8" minRefreshableVersion="5" useAutoFormatting="1" subtotalHiddenItems="1" itemPrintTitles="1" createdVersion="5" indent="0" outline="1" outlineData="1" multipleFieldFilters="0" chartFormat="114">
  <location ref="B46:C63"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1"/>
  </rowFields>
  <rowItems count="17">
    <i>
      <x/>
    </i>
    <i r="1">
      <x/>
    </i>
    <i r="1">
      <x v="1"/>
    </i>
    <i r="1">
      <x v="2"/>
    </i>
    <i>
      <x v="1"/>
    </i>
    <i r="1">
      <x v="3"/>
    </i>
    <i r="1">
      <x v="4"/>
    </i>
    <i r="1">
      <x v="5"/>
    </i>
    <i>
      <x v="2"/>
    </i>
    <i r="1">
      <x v="6"/>
    </i>
    <i r="1">
      <x v="7"/>
    </i>
    <i r="1">
      <x v="8"/>
    </i>
    <i>
      <x v="3"/>
    </i>
    <i r="1">
      <x v="9"/>
    </i>
    <i r="1">
      <x v="10"/>
    </i>
    <i r="1">
      <x v="11"/>
    </i>
    <i t="grand">
      <x/>
    </i>
  </rowItems>
  <colItems count="1">
    <i/>
  </colItems>
  <dataFields count="1">
    <dataField name="Sum of TotalPrice" fld="0" baseField="0" baseItem="0"/>
  </dataFields>
  <chartFormats count="14">
    <chartFormat chart="104" format="0" series="1">
      <pivotArea type="data" outline="0" fieldPosition="0">
        <references count="1">
          <reference field="4294967294" count="1" selected="0">
            <x v="0"/>
          </reference>
        </references>
      </pivotArea>
    </chartFormat>
    <chartFormat chart="110" format="14" series="1">
      <pivotArea type="data" outline="0" fieldPosition="0">
        <references count="1">
          <reference field="4294967294" count="1" selected="0">
            <x v="0"/>
          </reference>
        </references>
      </pivotArea>
    </chartFormat>
    <chartFormat chart="110" format="15">
      <pivotArea type="data" outline="0" fieldPosition="0">
        <references count="3">
          <reference field="4294967294" count="1" selected="0">
            <x v="0"/>
          </reference>
          <reference field="1" count="1" selected="0">
            <x v="0"/>
          </reference>
          <reference field="2" count="1" selected="0">
            <x v="0"/>
          </reference>
        </references>
      </pivotArea>
    </chartFormat>
    <chartFormat chart="110" format="16">
      <pivotArea type="data" outline="0" fieldPosition="0">
        <references count="3">
          <reference field="4294967294" count="1" selected="0">
            <x v="0"/>
          </reference>
          <reference field="1" count="1" selected="0">
            <x v="1"/>
          </reference>
          <reference field="2" count="1" selected="0">
            <x v="0"/>
          </reference>
        </references>
      </pivotArea>
    </chartFormat>
    <chartFormat chart="110" format="17">
      <pivotArea type="data" outline="0" fieldPosition="0">
        <references count="3">
          <reference field="4294967294" count="1" selected="0">
            <x v="0"/>
          </reference>
          <reference field="1" count="1" selected="0">
            <x v="2"/>
          </reference>
          <reference field="2" count="1" selected="0">
            <x v="0"/>
          </reference>
        </references>
      </pivotArea>
    </chartFormat>
    <chartFormat chart="110" format="18">
      <pivotArea type="data" outline="0" fieldPosition="0">
        <references count="3">
          <reference field="4294967294" count="1" selected="0">
            <x v="0"/>
          </reference>
          <reference field="1" count="1" selected="0">
            <x v="3"/>
          </reference>
          <reference field="2" count="1" selected="0">
            <x v="1"/>
          </reference>
        </references>
      </pivotArea>
    </chartFormat>
    <chartFormat chart="110" format="19">
      <pivotArea type="data" outline="0" fieldPosition="0">
        <references count="3">
          <reference field="4294967294" count="1" selected="0">
            <x v="0"/>
          </reference>
          <reference field="1" count="1" selected="0">
            <x v="4"/>
          </reference>
          <reference field="2" count="1" selected="0">
            <x v="1"/>
          </reference>
        </references>
      </pivotArea>
    </chartFormat>
    <chartFormat chart="110" format="20">
      <pivotArea type="data" outline="0" fieldPosition="0">
        <references count="3">
          <reference field="4294967294" count="1" selected="0">
            <x v="0"/>
          </reference>
          <reference field="1" count="1" selected="0">
            <x v="5"/>
          </reference>
          <reference field="2" count="1" selected="0">
            <x v="1"/>
          </reference>
        </references>
      </pivotArea>
    </chartFormat>
    <chartFormat chart="110" format="21">
      <pivotArea type="data" outline="0" fieldPosition="0">
        <references count="3">
          <reference field="4294967294" count="1" selected="0">
            <x v="0"/>
          </reference>
          <reference field="1" count="1" selected="0">
            <x v="6"/>
          </reference>
          <reference field="2" count="1" selected="0">
            <x v="2"/>
          </reference>
        </references>
      </pivotArea>
    </chartFormat>
    <chartFormat chart="110" format="22">
      <pivotArea type="data" outline="0" fieldPosition="0">
        <references count="3">
          <reference field="4294967294" count="1" selected="0">
            <x v="0"/>
          </reference>
          <reference field="1" count="1" selected="0">
            <x v="7"/>
          </reference>
          <reference field="2" count="1" selected="0">
            <x v="2"/>
          </reference>
        </references>
      </pivotArea>
    </chartFormat>
    <chartFormat chart="110" format="23">
      <pivotArea type="data" outline="0" fieldPosition="0">
        <references count="3">
          <reference field="4294967294" count="1" selected="0">
            <x v="0"/>
          </reference>
          <reference field="1" count="1" selected="0">
            <x v="8"/>
          </reference>
          <reference field="2" count="1" selected="0">
            <x v="2"/>
          </reference>
        </references>
      </pivotArea>
    </chartFormat>
    <chartFormat chart="110" format="24">
      <pivotArea type="data" outline="0" fieldPosition="0">
        <references count="3">
          <reference field="4294967294" count="1" selected="0">
            <x v="0"/>
          </reference>
          <reference field="1" count="1" selected="0">
            <x v="9"/>
          </reference>
          <reference field="2" count="1" selected="0">
            <x v="3"/>
          </reference>
        </references>
      </pivotArea>
    </chartFormat>
    <chartFormat chart="110" format="25">
      <pivotArea type="data" outline="0" fieldPosition="0">
        <references count="3">
          <reference field="4294967294" count="1" selected="0">
            <x v="0"/>
          </reference>
          <reference field="1" count="1" selected="0">
            <x v="10"/>
          </reference>
          <reference field="2" count="1" selected="0">
            <x v="3"/>
          </reference>
        </references>
      </pivotArea>
    </chartFormat>
    <chartFormat chart="110" format="26">
      <pivotArea type="data" outline="0" fieldPosition="0">
        <references count="3">
          <reference field="4294967294" count="1" selected="0">
            <x v="0"/>
          </reference>
          <reference field="1" count="1" selected="0">
            <x v="11"/>
          </reference>
          <reference field="2" count="1" selected="0">
            <x v="3"/>
          </reference>
        </references>
      </pivotArea>
    </chartFormat>
  </chartFormats>
  <pivotHierarchies count="4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423E51-7993-4094-BE51-5539DFA46877}" name="PivotTable12" cacheId="93" applyNumberFormats="0" applyBorderFormats="0" applyFontFormats="0" applyPatternFormats="0" applyAlignmentFormats="0" applyWidthHeightFormats="1" dataCaption="Values" tag="a64f8cb9-5659-417d-ae8b-233fc09784f6" updatedVersion="8" minRefreshableVersion="5" useAutoFormatting="1" subtotalHiddenItems="1" itemPrintTitles="1" createdVersion="5" indent="0" outline="1" outlineData="1" multipleFieldFilters="0" chartFormat="119">
  <location ref="B79:C85"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turned" fld="1" baseField="0" baseItem="0"/>
  </dataFields>
  <chartFormats count="2">
    <chartFormat chart="106" format="0" series="1">
      <pivotArea type="data" outline="0" fieldPosition="0">
        <references count="1">
          <reference field="4294967294" count="1" selected="0">
            <x v="0"/>
          </reference>
        </references>
      </pivotArea>
    </chartFormat>
    <chartFormat chart="111"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turned"/>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E33C01-AEFD-4A2A-8075-FAE8F6FF18A9}" name="PivotTable5" cacheId="102" applyNumberFormats="0" applyBorderFormats="0" applyFontFormats="0" applyPatternFormats="0" applyAlignmentFormats="0" applyWidthHeightFormats="1" dataCaption="Values" tag="9c270a39-2810-47ae-9966-21ebad16275d" updatedVersion="8" minRefreshableVersion="5" useAutoFormatting="1" subtotalHiddenItems="1" itemPrintTitles="1" createdVersion="5" indent="0" outline="1" outlineData="1" multipleFieldFilters="0" chartFormat="99">
  <location ref="B29:C3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Price" fld="1" baseField="0" baseItem="0"/>
  </dataFields>
  <pivotHierarchies count="4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D6933E-4F53-4AF9-91B8-3F03F94CCADB}" sourceName="[Table1].[Region]">
  <pivotTables>
    <pivotTable tabId="2" name="PivotTable1"/>
    <pivotTable tabId="2" name="PivotTable10"/>
    <pivotTable tabId="2" name="PivotTable11"/>
    <pivotTable tabId="2" name="PivotTable12"/>
    <pivotTable tabId="2" name="PivotTable13"/>
    <pivotTable tabId="2" name="PivotTable2"/>
    <pivotTable tabId="2" name="PivotTable5"/>
    <pivotTable tabId="2" name="PivotTable16"/>
  </pivotTables>
  <data>
    <olap pivotCacheId="209858133">
      <levels count="2">
        <level uniqueName="[Table1].[Region].[(All)]" sourceCaption="(All)" count="0"/>
        <level uniqueName="[Table1].[Region].[Region]" sourceCaption="Region" count="5">
          <ranges>
            <range startItem="0">
              <i n="[Table1].[Region].&amp;[Central]" c="Central"/>
              <i n="[Table1].[Region].&amp;[East]" c="East"/>
              <i n="[Table1].[Region].&amp;[North]" c="North"/>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AF480D3-0298-49B9-BCA4-933C1E64C04F}" sourceName="[Table1].[Product]">
  <pivotTables>
    <pivotTable tabId="2" name="PivotTable10"/>
    <pivotTable tabId="2" name="PivotTable1"/>
    <pivotTable tabId="2" name="PivotTable11"/>
    <pivotTable tabId="2" name="PivotTable12"/>
    <pivotTable tabId="2" name="PivotTable13"/>
    <pivotTable tabId="2" name="PivotTable16"/>
    <pivotTable tabId="2" name="PivotTable2"/>
    <pivotTable tabId="2" name="PivotTable5"/>
  </pivotTables>
  <data>
    <olap pivotCacheId="209858133">
      <levels count="2">
        <level uniqueName="[Table1].[Product].[(All)]" sourceCaption="(All)" count="0"/>
        <level uniqueName="[Table1].[Product].[Product]" sourceCaption="Product" count="7">
          <ranges>
            <range startItem="0">
              <i n="[Table1].[Product].&amp;[Chair]" c="Chair"/>
              <i n="[Table1].[Product].&amp;[Desk]" c="Desk"/>
              <i n="[Table1].[Product].&amp;[Laptop]" c="Laptop"/>
              <i n="[Table1].[Product].&amp;[Monitor]" c="Monitor"/>
              <i n="[Table1].[Product].&amp;[Phone]" c="Phone"/>
              <i n="[Table1].[Product].&amp;[Printer]" c="Printer"/>
              <i n="[Table1].[Product].&amp;[Tablet]" c="Tablet"/>
            </range>
          </ranges>
        </level>
      </levels>
      <selections count="1">
        <selection n="[Table1].[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279AFFF-E06E-4A85-A128-0B311DE3D3E2}" cache="Slicer_Region" caption="Region" level="1" style="SlicerStyleDark4" rowHeight="234950"/>
  <slicer name="Product" xr10:uid="{0418EE58-4D90-4A25-AE6F-13C2F22F179B}" cache="Slicer_Product" caption="Product" startItem="2" level="1"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12986D-63AB-40F9-82BD-FD0E7DBD0219}" name="Table2" displayName="Table2" ref="F97:H101" totalsRowShown="0">
  <tableColumns count="3">
    <tableColumn id="1" xr3:uid="{53A1A41F-B11C-44F2-B52C-5B337D16257F}" name="Row Labels" dataDxfId="1"/>
    <tableColumn id="2" xr3:uid="{F901A982-8A7B-4270-A31B-ACA006ABB693}" name="Sum of Returned"/>
    <tableColumn id="3" xr3:uid="{04F6D5EE-6A0A-4F6B-A393-18F192D1693E}" name="Sum of TotalPrice"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789F73-CF81-4161-9B9D-4F9394350E09}" name="Table1" displayName="Table1" ref="A1:S1501" totalsRowShown="0" headerRowDxfId="7" headerRowBorderDxfId="6" tableBorderDxfId="5">
  <autoFilter ref="A1:S1501" xr:uid="{6D789F73-CF81-4161-9B9D-4F9394350E09}"/>
  <tableColumns count="19">
    <tableColumn id="1" xr3:uid="{1E4DC0B0-4A7E-451E-ABB9-205BA51B0A97}" name="Date" dataDxfId="4"/>
    <tableColumn id="2" xr3:uid="{FD660FC1-2220-4A5D-B757-1E8179DDD48C}" name="Region"/>
    <tableColumn id="3" xr3:uid="{35957B2E-079F-42F0-B33B-3B91C861D0D5}" name="Product"/>
    <tableColumn id="4" xr3:uid="{5A5E306D-AE5B-4F28-A685-F10FDACF498E}" name="Quantity"/>
    <tableColumn id="5" xr3:uid="{3107193F-92BD-4BB3-ADAF-6B80DE9B82B4}" name="UnitPrice"/>
    <tableColumn id="6" xr3:uid="{D6096B60-06F3-4B00-B133-261B14C166B5}" name="StoreLocation"/>
    <tableColumn id="7" xr3:uid="{FF1F9B47-0C73-415D-9623-5A49C8AF0367}" name="CustomerType"/>
    <tableColumn id="8" xr3:uid="{EF50DB17-016E-4E7C-9EBB-E10DB53F0E73}" name="Discount"/>
    <tableColumn id="9" xr3:uid="{591175F2-13E0-4583-8D29-6C580E8ED11D}" name="Salesperson"/>
    <tableColumn id="10" xr3:uid="{F97941B9-1F15-4B8E-A52E-6CA474E450F9}" name="TotalPrice"/>
    <tableColumn id="11" xr3:uid="{31B7A620-E6CB-44FE-BD58-510D9239D7C5}" name="PaymentMethod"/>
    <tableColumn id="12" xr3:uid="{E6714C0A-B09E-499D-A835-0337603E5F44}" name="Promotion"/>
    <tableColumn id="13" xr3:uid="{EFC97BFC-805D-4874-B4A9-B3129442CD0E}" name="Returned"/>
    <tableColumn id="14" xr3:uid="{D7189B01-7A05-4F86-A449-B5615FAAFDEB}" name="OrderID"/>
    <tableColumn id="15" xr3:uid="{B737D245-8E7E-4FB6-A7ED-4A828539B34E}" name="CustomerName"/>
    <tableColumn id="16" xr3:uid="{CD53BE57-66C0-468B-B0DE-50B409691210}" name="ShippingCost"/>
    <tableColumn id="17" xr3:uid="{BD2C858E-CEC8-40E0-93FE-FA92408F7E7C}" name="OrderDate" dataDxfId="3"/>
    <tableColumn id="18" xr3:uid="{472ECE30-5EB9-45CF-8155-5FDEB47875C7}" name="DeliveryDate" dataDxfId="2"/>
    <tableColumn id="19" xr3:uid="{6D4A8A35-1E58-43E8-B9FB-8374C770C29F}" name="Region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27AC6CC-4A5B-4C25-80B5-4359FE808F79}" sourceName="[Table1].[Date]">
  <pivotTables>
    <pivotTable tabId="2" name="PivotTable1"/>
    <pivotTable tabId="2" name="PivotTable10"/>
    <pivotTable tabId="2" name="PivotTable11"/>
    <pivotTable tabId="2" name="PivotTable12"/>
    <pivotTable tabId="2" name="PivotTable13"/>
    <pivotTable tabId="2" name="PivotTable16"/>
    <pivotTable tabId="2" name="PivotTable2"/>
    <pivotTable tabId="2" name="PivotTable5"/>
  </pivotTables>
  <state minimalRefreshVersion="6" lastRefreshVersion="6" pivotCacheId="33541206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51E1970-F5D3-4E07-8924-BE90CBAC4339}" cache="Timeline_Date" caption="Date" level="0" selectionLevel="0" scrollPosition="2023-01-01T00:00:00" style="TimeSlicerStyleDark4"/>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54A26-7397-4CC9-959D-C9E373B17FE0}">
  <dimension ref="B3:I122"/>
  <sheetViews>
    <sheetView tabSelected="1" zoomScale="109" workbookViewId="0">
      <selection activeCell="J15" sqref="J15"/>
    </sheetView>
  </sheetViews>
  <sheetFormatPr defaultRowHeight="14.4" x14ac:dyDescent="0.3"/>
  <cols>
    <col min="2" max="2" width="12.5546875" bestFit="1" customWidth="1"/>
    <col min="3" max="3" width="13.88671875" bestFit="1" customWidth="1"/>
    <col min="4" max="4" width="15.21875" bestFit="1" customWidth="1"/>
    <col min="5" max="5" width="17.88671875" bestFit="1" customWidth="1"/>
    <col min="6" max="6" width="15.44140625" bestFit="1" customWidth="1"/>
    <col min="7" max="7" width="19.109375" bestFit="1" customWidth="1"/>
    <col min="8" max="8" width="10.5546875" bestFit="1" customWidth="1"/>
    <col min="9" max="9" width="19" bestFit="1" customWidth="1"/>
    <col min="10" max="10" width="10.5546875" bestFit="1" customWidth="1"/>
    <col min="11" max="12" width="19" bestFit="1" customWidth="1"/>
    <col min="15" max="15" width="51.109375" bestFit="1" customWidth="1"/>
  </cols>
  <sheetData>
    <row r="3" spans="2:9" x14ac:dyDescent="0.3">
      <c r="C3" t="s">
        <v>2945</v>
      </c>
      <c r="D3" t="s">
        <v>2946</v>
      </c>
      <c r="E3" t="s">
        <v>2947</v>
      </c>
      <c r="F3" t="s">
        <v>2948</v>
      </c>
      <c r="G3" t="s">
        <v>2949</v>
      </c>
      <c r="H3" t="s">
        <v>2950</v>
      </c>
      <c r="I3" t="s">
        <v>2951</v>
      </c>
    </row>
    <row r="4" spans="2:9" x14ac:dyDescent="0.3">
      <c r="C4" s="11">
        <v>4379992.4284999985</v>
      </c>
      <c r="D4" s="11">
        <v>4338731.4884999981</v>
      </c>
      <c r="E4" s="11">
        <v>2919.9949523333325</v>
      </c>
      <c r="F4" s="13">
        <v>7.3133333333332759E-2</v>
      </c>
      <c r="G4" s="11">
        <v>27.507293333333333</v>
      </c>
      <c r="H4" s="13">
        <v>0.248</v>
      </c>
      <c r="I4" s="14">
        <v>6.0426666666666664</v>
      </c>
    </row>
    <row r="6" spans="2:9" x14ac:dyDescent="0.3">
      <c r="C6" s="12" t="s">
        <v>2945</v>
      </c>
      <c r="D6" s="12" t="s">
        <v>2946</v>
      </c>
      <c r="E6" s="12" t="s">
        <v>2947</v>
      </c>
      <c r="F6" s="12" t="s">
        <v>2948</v>
      </c>
      <c r="G6" s="12" t="s">
        <v>2949</v>
      </c>
      <c r="H6" s="12" t="s">
        <v>2950</v>
      </c>
      <c r="I6" s="12" t="s">
        <v>2951</v>
      </c>
    </row>
    <row r="7" spans="2:9" x14ac:dyDescent="0.3">
      <c r="C7" s="15">
        <v>4379992.4284999985</v>
      </c>
      <c r="D7" s="16">
        <v>4338731.4885</v>
      </c>
      <c r="E7" s="15">
        <v>2919.9949523333325</v>
      </c>
      <c r="F7" s="17">
        <v>7.3133333333332759E-2</v>
      </c>
      <c r="G7" s="15">
        <v>27.507293333333301</v>
      </c>
      <c r="H7" s="17">
        <v>0.248</v>
      </c>
      <c r="I7" s="14">
        <v>6.0426666666666664</v>
      </c>
    </row>
    <row r="11" spans="2:9" ht="15" customHeight="1" x14ac:dyDescent="0.3"/>
    <row r="12" spans="2:9" ht="15.6" customHeight="1" x14ac:dyDescent="0.3"/>
    <row r="14" spans="2:9" x14ac:dyDescent="0.3">
      <c r="F14" s="3"/>
    </row>
    <row r="15" spans="2:9" x14ac:dyDescent="0.3">
      <c r="B15" s="18" t="s">
        <v>2952</v>
      </c>
      <c r="C15" t="s">
        <v>2945</v>
      </c>
    </row>
    <row r="16" spans="2:9" x14ac:dyDescent="0.3">
      <c r="B16" s="19" t="s">
        <v>22</v>
      </c>
      <c r="C16" s="11">
        <v>847153.68450000032</v>
      </c>
    </row>
    <row r="17" spans="2:6" x14ac:dyDescent="0.3">
      <c r="B17" s="19" t="s">
        <v>19</v>
      </c>
      <c r="C17" s="11">
        <v>883633.71800000116</v>
      </c>
    </row>
    <row r="18" spans="2:6" x14ac:dyDescent="0.3">
      <c r="B18" s="19" t="s">
        <v>21</v>
      </c>
      <c r="C18" s="11">
        <v>967957.98000000068</v>
      </c>
    </row>
    <row r="19" spans="2:6" x14ac:dyDescent="0.3">
      <c r="B19" s="19" t="s">
        <v>20</v>
      </c>
      <c r="C19" s="11">
        <v>827768.18699999992</v>
      </c>
    </row>
    <row r="20" spans="2:6" x14ac:dyDescent="0.3">
      <c r="B20" s="19" t="s">
        <v>23</v>
      </c>
      <c r="C20" s="11">
        <v>853478.85900000017</v>
      </c>
    </row>
    <row r="21" spans="2:6" x14ac:dyDescent="0.3">
      <c r="B21" s="19" t="s">
        <v>2953</v>
      </c>
      <c r="C21" s="11">
        <v>4379992.4284999985</v>
      </c>
    </row>
    <row r="29" spans="2:6" x14ac:dyDescent="0.3">
      <c r="B29" s="18" t="s">
        <v>2952</v>
      </c>
      <c r="C29" t="s">
        <v>2954</v>
      </c>
      <c r="E29" t="str" cm="1">
        <f t="array" ref="E29:E35">B30:B36</f>
        <v>Chair</v>
      </c>
      <c r="F29" s="21">
        <f>GETPIVOTDATA("[Measures].[Sum of TotalPrice]",$B$29,"[Table1].[Product]","[Table1].[Product].&amp;[Chair]")</f>
        <v>622589.47800000012</v>
      </c>
    </row>
    <row r="30" spans="2:6" x14ac:dyDescent="0.3">
      <c r="B30" s="19" t="s">
        <v>27</v>
      </c>
      <c r="C30" s="11">
        <v>622589.47800000012</v>
      </c>
      <c r="E30" t="str">
        <v>Desk</v>
      </c>
      <c r="F30" s="21">
        <f>GETPIVOTDATA("[Measures].[Sum of TotalPrice]",$B$29,"[Table1].[Product]","[Table1].[Product].&amp;[Desk]")</f>
        <v>555266.6645000003</v>
      </c>
    </row>
    <row r="31" spans="2:6" x14ac:dyDescent="0.3">
      <c r="B31" s="19" t="s">
        <v>26</v>
      </c>
      <c r="C31" s="11">
        <v>555266.6645000003</v>
      </c>
      <c r="E31" t="str">
        <v>Laptop</v>
      </c>
      <c r="F31" s="21">
        <f>GETPIVOTDATA("[Measures].[Sum of TotalPrice]",$B$29,"[Table1].[Product]","[Table1].[Product].&amp;[Laptop]")</f>
        <v>684417.24150000012</v>
      </c>
    </row>
    <row r="32" spans="2:6" x14ac:dyDescent="0.3">
      <c r="B32" s="19" t="s">
        <v>24</v>
      </c>
      <c r="C32" s="11">
        <v>684417.24150000012</v>
      </c>
      <c r="E32" t="str">
        <v>Monitor</v>
      </c>
      <c r="F32" s="21">
        <f>GETPIVOTDATA("[Measures].[Sum of TotalPrice]",$B$29,"[Table1].[Product]","[Table1].[Product].&amp;[Monitor]")</f>
        <v>651629.39249999973</v>
      </c>
    </row>
    <row r="33" spans="2:6" x14ac:dyDescent="0.3">
      <c r="B33" s="19" t="s">
        <v>28</v>
      </c>
      <c r="C33" s="11">
        <v>651629.39249999973</v>
      </c>
      <c r="E33" t="str">
        <v>Phone</v>
      </c>
      <c r="F33" s="21">
        <f>GETPIVOTDATA("[Measures].[Sum of TotalPrice]",$B$29,"[Table1].[Product]","[Table1].[Product].&amp;[Phone]")</f>
        <v>497162.85099999979</v>
      </c>
    </row>
    <row r="34" spans="2:6" x14ac:dyDescent="0.3">
      <c r="B34" s="19" t="s">
        <v>25</v>
      </c>
      <c r="C34" s="11">
        <v>497162.85099999979</v>
      </c>
      <c r="E34" t="str">
        <v>Printer</v>
      </c>
      <c r="F34" s="21">
        <f>GETPIVOTDATA("[Measures].[Sum of TotalPrice]",$B$29,"[Table1].[Product]","[Table1].[Product].&amp;[Printer]")</f>
        <v>684387.4155000007</v>
      </c>
    </row>
    <row r="35" spans="2:6" x14ac:dyDescent="0.3">
      <c r="B35" s="19" t="s">
        <v>30</v>
      </c>
      <c r="C35" s="11">
        <v>684387.4155000007</v>
      </c>
      <c r="E35" s="19" t="str">
        <v>Tablet</v>
      </c>
      <c r="F35" s="21">
        <f>GETPIVOTDATA("[Measures].[Sum of TotalPrice]",$B$29,"[Table1].[Product]","[Table1].[Product].&amp;[Printer]")</f>
        <v>684387.4155000007</v>
      </c>
    </row>
    <row r="36" spans="2:6" x14ac:dyDescent="0.3">
      <c r="B36" s="19" t="s">
        <v>29</v>
      </c>
      <c r="C36" s="11">
        <v>684539.38550000067</v>
      </c>
      <c r="E36" s="19"/>
      <c r="F36" s="11"/>
    </row>
    <row r="37" spans="2:6" x14ac:dyDescent="0.3">
      <c r="B37" s="19" t="s">
        <v>2953</v>
      </c>
      <c r="C37" s="11">
        <v>4379992.4284999985</v>
      </c>
      <c r="E37" s="19"/>
      <c r="F37" s="11"/>
    </row>
    <row r="46" spans="2:6" x14ac:dyDescent="0.3">
      <c r="B46" s="18" t="s">
        <v>2952</v>
      </c>
      <c r="C46" t="s">
        <v>2954</v>
      </c>
    </row>
    <row r="47" spans="2:6" x14ac:dyDescent="0.3">
      <c r="B47" s="19" t="s">
        <v>2955</v>
      </c>
      <c r="C47" s="22"/>
    </row>
    <row r="48" spans="2:6" x14ac:dyDescent="0.3">
      <c r="B48" s="20" t="s">
        <v>2956</v>
      </c>
      <c r="C48" s="11">
        <v>498358.50149999995</v>
      </c>
    </row>
    <row r="49" spans="2:3" x14ac:dyDescent="0.3">
      <c r="B49" s="20" t="s">
        <v>2957</v>
      </c>
      <c r="C49" s="11">
        <v>415057.81349999999</v>
      </c>
    </row>
    <row r="50" spans="2:3" x14ac:dyDescent="0.3">
      <c r="B50" s="20" t="s">
        <v>2958</v>
      </c>
      <c r="C50" s="11">
        <v>532090.95349999995</v>
      </c>
    </row>
    <row r="51" spans="2:3" x14ac:dyDescent="0.3">
      <c r="B51" s="19" t="s">
        <v>2959</v>
      </c>
      <c r="C51" s="22"/>
    </row>
    <row r="52" spans="2:3" x14ac:dyDescent="0.3">
      <c r="B52" s="20" t="s">
        <v>2960</v>
      </c>
      <c r="C52" s="11">
        <v>443318.72650000016</v>
      </c>
    </row>
    <row r="53" spans="2:3" x14ac:dyDescent="0.3">
      <c r="B53" s="20" t="s">
        <v>2961</v>
      </c>
      <c r="C53" s="11">
        <v>402408.02549999999</v>
      </c>
    </row>
    <row r="54" spans="2:3" x14ac:dyDescent="0.3">
      <c r="B54" s="20" t="s">
        <v>2962</v>
      </c>
      <c r="C54" s="11">
        <v>434261.66899999999</v>
      </c>
    </row>
    <row r="55" spans="2:3" x14ac:dyDescent="0.3">
      <c r="B55" s="19" t="s">
        <v>2963</v>
      </c>
      <c r="C55" s="22"/>
    </row>
    <row r="56" spans="2:3" x14ac:dyDescent="0.3">
      <c r="B56" s="20" t="s">
        <v>2964</v>
      </c>
      <c r="C56" s="11">
        <v>280050.04749999981</v>
      </c>
    </row>
    <row r="57" spans="2:3" x14ac:dyDescent="0.3">
      <c r="B57" s="20" t="s">
        <v>2965</v>
      </c>
      <c r="C57" s="11">
        <v>289639.00349999999</v>
      </c>
    </row>
    <row r="58" spans="2:3" x14ac:dyDescent="0.3">
      <c r="B58" s="20" t="s">
        <v>2966</v>
      </c>
      <c r="C58" s="11">
        <v>282114.64899999998</v>
      </c>
    </row>
    <row r="59" spans="2:3" x14ac:dyDescent="0.3">
      <c r="B59" s="19" t="s">
        <v>2967</v>
      </c>
      <c r="C59" s="22"/>
    </row>
    <row r="60" spans="2:3" x14ac:dyDescent="0.3">
      <c r="B60" s="20" t="s">
        <v>2968</v>
      </c>
      <c r="C60" s="11">
        <v>256612.897</v>
      </c>
    </row>
    <row r="61" spans="2:3" x14ac:dyDescent="0.3">
      <c r="B61" s="20" t="s">
        <v>2969</v>
      </c>
      <c r="C61" s="11">
        <v>283330.62000000005</v>
      </c>
    </row>
    <row r="62" spans="2:3" x14ac:dyDescent="0.3">
      <c r="B62" s="20" t="s">
        <v>2970</v>
      </c>
      <c r="C62" s="11">
        <v>262749.522</v>
      </c>
    </row>
    <row r="63" spans="2:3" x14ac:dyDescent="0.3">
      <c r="B63" s="19" t="s">
        <v>2953</v>
      </c>
      <c r="C63" s="11">
        <v>4379992.4284999985</v>
      </c>
    </row>
    <row r="66" spans="2:3" x14ac:dyDescent="0.3">
      <c r="B66" s="18" t="s">
        <v>2952</v>
      </c>
      <c r="C66" t="s">
        <v>2971</v>
      </c>
    </row>
    <row r="67" spans="2:3" x14ac:dyDescent="0.3">
      <c r="B67" s="19" t="s">
        <v>47</v>
      </c>
      <c r="C67" s="22">
        <v>312</v>
      </c>
    </row>
    <row r="68" spans="2:3" x14ac:dyDescent="0.3">
      <c r="B68" s="19" t="s">
        <v>45</v>
      </c>
      <c r="C68" s="22">
        <v>299</v>
      </c>
    </row>
    <row r="69" spans="2:3" x14ac:dyDescent="0.3">
      <c r="B69" s="19" t="s">
        <v>46</v>
      </c>
      <c r="C69" s="22">
        <v>290</v>
      </c>
    </row>
    <row r="70" spans="2:3" x14ac:dyDescent="0.3">
      <c r="B70" s="19" t="s">
        <v>44</v>
      </c>
      <c r="C70" s="22">
        <v>276</v>
      </c>
    </row>
    <row r="71" spans="2:3" x14ac:dyDescent="0.3">
      <c r="B71" s="19" t="s">
        <v>43</v>
      </c>
      <c r="C71" s="22">
        <v>323</v>
      </c>
    </row>
    <row r="72" spans="2:3" x14ac:dyDescent="0.3">
      <c r="B72" s="19" t="s">
        <v>2953</v>
      </c>
      <c r="C72" s="22">
        <v>1500</v>
      </c>
    </row>
    <row r="79" spans="2:3" x14ac:dyDescent="0.3">
      <c r="B79" s="18" t="s">
        <v>2952</v>
      </c>
      <c r="C79" t="s">
        <v>2972</v>
      </c>
    </row>
    <row r="80" spans="2:3" x14ac:dyDescent="0.3">
      <c r="B80" s="19" t="s">
        <v>22</v>
      </c>
      <c r="C80" s="22">
        <v>70</v>
      </c>
    </row>
    <row r="81" spans="2:3" x14ac:dyDescent="0.3">
      <c r="B81" s="19" t="s">
        <v>19</v>
      </c>
      <c r="C81" s="22">
        <v>81</v>
      </c>
    </row>
    <row r="82" spans="2:3" x14ac:dyDescent="0.3">
      <c r="B82" s="19" t="s">
        <v>21</v>
      </c>
      <c r="C82" s="22">
        <v>70</v>
      </c>
    </row>
    <row r="83" spans="2:3" x14ac:dyDescent="0.3">
      <c r="B83" s="19" t="s">
        <v>20</v>
      </c>
      <c r="C83" s="22">
        <v>77</v>
      </c>
    </row>
    <row r="84" spans="2:3" x14ac:dyDescent="0.3">
      <c r="B84" s="19" t="s">
        <v>23</v>
      </c>
      <c r="C84" s="22">
        <v>74</v>
      </c>
    </row>
    <row r="85" spans="2:3" x14ac:dyDescent="0.3">
      <c r="B85" s="19" t="s">
        <v>2953</v>
      </c>
      <c r="C85" s="22">
        <v>372</v>
      </c>
    </row>
    <row r="97" spans="2:8" x14ac:dyDescent="0.3">
      <c r="F97" t="s">
        <v>2952</v>
      </c>
      <c r="G97" t="s">
        <v>2972</v>
      </c>
      <c r="H97" t="s">
        <v>2954</v>
      </c>
    </row>
    <row r="98" spans="2:8" x14ac:dyDescent="0.3">
      <c r="B98" s="18" t="s">
        <v>2952</v>
      </c>
      <c r="C98" t="s">
        <v>2972</v>
      </c>
      <c r="D98" t="s">
        <v>2954</v>
      </c>
      <c r="F98" s="19" t="s">
        <v>48</v>
      </c>
      <c r="G98">
        <f>GETPIVOTDATA("[Measures].[Sum of Returned]",$B$98,"[Table1].[Promotion]","[Table1].[Promotion].&amp;[FREESHIP]")</f>
        <v>100</v>
      </c>
      <c r="H98" s="15">
        <f>GETPIVOTDATA("[Measures].[Sum of TotalPrice]",$B$98,"[Table1].[Promotion]","[Table1].[Promotion].&amp;[FREESHIP]")</f>
        <v>1238076.9235000007</v>
      </c>
    </row>
    <row r="99" spans="2:8" x14ac:dyDescent="0.3">
      <c r="B99" s="19" t="s">
        <v>48</v>
      </c>
      <c r="C99" s="22">
        <v>100</v>
      </c>
      <c r="D99" s="11">
        <v>1238076.9235000007</v>
      </c>
      <c r="F99" s="19" t="s">
        <v>2927</v>
      </c>
      <c r="G99">
        <f>GETPIVOTDATA("[Measures].[Sum of Returned]",$B$98,"[Table1].[Promotion]","[Table1].[Promotion].&amp;[N/A]")</f>
        <v>92</v>
      </c>
      <c r="H99" s="15">
        <f>GETPIVOTDATA("[Measures].[Sum of TotalPrice]",$B$98,"[Table1].[Promotion]","[Table1].[Promotion].&amp;[N/A]")</f>
        <v>1074246.7715000003</v>
      </c>
    </row>
    <row r="100" spans="2:8" x14ac:dyDescent="0.3">
      <c r="B100" s="19" t="s">
        <v>2927</v>
      </c>
      <c r="C100" s="22">
        <v>92</v>
      </c>
      <c r="D100" s="11">
        <v>1074246.7715000003</v>
      </c>
      <c r="F100" s="19" t="s">
        <v>49</v>
      </c>
      <c r="G100">
        <f>GETPIVOTDATA("[Measures].[Sum of Returned]",$B$98,"[Table1].[Promotion]","[Table1].[Promotion].&amp;[SAVE10]")</f>
        <v>88</v>
      </c>
      <c r="H100" s="15">
        <f>GETPIVOTDATA("[Measures].[Sum of TotalPrice]",$B$98,"[Table1].[Promotion]","[Table1].[Promotion].&amp;[SAVE10]")</f>
        <v>989656.80550000037</v>
      </c>
    </row>
    <row r="101" spans="2:8" x14ac:dyDescent="0.3">
      <c r="B101" s="19" t="s">
        <v>49</v>
      </c>
      <c r="C101" s="22">
        <v>88</v>
      </c>
      <c r="D101" s="11">
        <v>989656.80550000037</v>
      </c>
      <c r="F101" s="19" t="s">
        <v>50</v>
      </c>
      <c r="G101">
        <f>GETPIVOTDATA("[Measures].[Sum of Returned]",$B$98,"[Table1].[Promotion]","[Table1].[Promotion].&amp;[WINTER15]")</f>
        <v>92</v>
      </c>
      <c r="H101" s="15">
        <f>GETPIVOTDATA("[Measures].[Sum of TotalPrice]",$B$98,"[Table1].[Promotion]","[Table1].[Promotion].&amp;[WINTER15]")</f>
        <v>1078011.9280000005</v>
      </c>
    </row>
    <row r="102" spans="2:8" x14ac:dyDescent="0.3">
      <c r="B102" s="19" t="s">
        <v>50</v>
      </c>
      <c r="C102" s="22">
        <v>92</v>
      </c>
      <c r="D102" s="11">
        <v>1078011.9280000005</v>
      </c>
      <c r="H102" s="11"/>
    </row>
    <row r="103" spans="2:8" x14ac:dyDescent="0.3">
      <c r="B103" s="19" t="s">
        <v>2953</v>
      </c>
      <c r="C103" s="22">
        <v>372</v>
      </c>
      <c r="D103" s="11">
        <v>4379992.4284999985</v>
      </c>
      <c r="H103" s="11"/>
    </row>
    <row r="115" spans="2:3" x14ac:dyDescent="0.3">
      <c r="B115" s="18" t="s">
        <v>2952</v>
      </c>
      <c r="C115" t="s">
        <v>2954</v>
      </c>
    </row>
    <row r="116" spans="2:3" x14ac:dyDescent="0.3">
      <c r="B116" s="19" t="s">
        <v>38</v>
      </c>
      <c r="C116" s="11">
        <v>786165.8400000002</v>
      </c>
    </row>
    <row r="117" spans="2:3" x14ac:dyDescent="0.3">
      <c r="B117" s="19" t="s">
        <v>42</v>
      </c>
      <c r="C117" s="11">
        <v>796780.52149999957</v>
      </c>
    </row>
    <row r="118" spans="2:3" x14ac:dyDescent="0.3">
      <c r="B118" s="19" t="s">
        <v>40</v>
      </c>
      <c r="C118" s="11">
        <v>707166.71600000071</v>
      </c>
    </row>
    <row r="119" spans="2:3" x14ac:dyDescent="0.3">
      <c r="B119" s="19" t="s">
        <v>41</v>
      </c>
      <c r="C119" s="11">
        <v>676568.2495000005</v>
      </c>
    </row>
    <row r="120" spans="2:3" x14ac:dyDescent="0.3">
      <c r="B120" s="19" t="s">
        <v>37</v>
      </c>
      <c r="C120" s="11">
        <v>698669.57950000011</v>
      </c>
    </row>
    <row r="121" spans="2:3" x14ac:dyDescent="0.3">
      <c r="B121" s="19" t="s">
        <v>39</v>
      </c>
      <c r="C121" s="11">
        <v>714641.52200000035</v>
      </c>
    </row>
    <row r="122" spans="2:3" x14ac:dyDescent="0.3">
      <c r="B122" s="19" t="s">
        <v>2953</v>
      </c>
      <c r="C122" s="11">
        <v>4379992.4284999985</v>
      </c>
    </row>
  </sheetData>
  <pageMargins left="0.7" right="0.7" top="0.75" bottom="0.75" header="0.3" footer="0.3"/>
  <drawing r:id="rId9"/>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opLeftCell="C1" workbookViewId="0">
      <selection activeCell="I16" sqref="I16"/>
    </sheetView>
  </sheetViews>
  <sheetFormatPr defaultRowHeight="14.4" x14ac:dyDescent="0.3"/>
  <cols>
    <col min="1" max="1" width="10.33203125" bestFit="1" customWidth="1"/>
    <col min="2" max="2" width="11.21875" bestFit="1" customWidth="1"/>
    <col min="3" max="3" width="12.109375" bestFit="1" customWidth="1"/>
    <col min="4" max="4" width="12.77734375" bestFit="1" customWidth="1"/>
    <col min="5" max="5" width="13.109375" bestFit="1" customWidth="1"/>
    <col min="6" max="6" width="17.109375" bestFit="1" customWidth="1"/>
    <col min="7" max="7" width="17.77734375" bestFit="1" customWidth="1"/>
    <col min="8" max="8" width="12.77734375" bestFit="1" customWidth="1"/>
    <col min="9" max="9" width="15.44140625" bestFit="1" customWidth="1"/>
    <col min="10" max="10" width="13.77734375" bestFit="1" customWidth="1"/>
    <col min="11" max="11" width="19.88671875" bestFit="1" customWidth="1"/>
    <col min="12" max="12" width="14.44140625" bestFit="1" customWidth="1"/>
    <col min="13" max="13" width="13.21875" bestFit="1" customWidth="1"/>
    <col min="14" max="14" width="12" bestFit="1" customWidth="1"/>
    <col min="15" max="15" width="18.6640625" bestFit="1" customWidth="1"/>
    <col min="16" max="16" width="16.44140625" bestFit="1" customWidth="1"/>
    <col min="17" max="17" width="14.109375" bestFit="1" customWidth="1"/>
    <col min="18" max="18" width="16.109375" bestFit="1" customWidth="1"/>
    <col min="19" max="19" width="18.88671875" bestFit="1"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s="1">
        <v>44980</v>
      </c>
      <c r="B2" t="s">
        <v>19</v>
      </c>
      <c r="C2" t="s">
        <v>24</v>
      </c>
      <c r="D2">
        <v>14</v>
      </c>
      <c r="E2">
        <v>163.6</v>
      </c>
      <c r="F2" t="s">
        <v>31</v>
      </c>
      <c r="G2" t="s">
        <v>35</v>
      </c>
      <c r="H2">
        <v>0</v>
      </c>
      <c r="I2" t="s">
        <v>37</v>
      </c>
      <c r="J2">
        <v>2290.4</v>
      </c>
      <c r="K2" t="s">
        <v>43</v>
      </c>
      <c r="L2" t="s">
        <v>48</v>
      </c>
      <c r="M2">
        <v>0</v>
      </c>
      <c r="N2" t="s">
        <v>51</v>
      </c>
      <c r="O2" t="s">
        <v>1551</v>
      </c>
      <c r="P2">
        <v>43.34</v>
      </c>
      <c r="Q2" s="1">
        <v>44980</v>
      </c>
      <c r="R2" s="1">
        <v>44984</v>
      </c>
      <c r="S2" t="s">
        <v>2922</v>
      </c>
    </row>
    <row r="3" spans="1:19" x14ac:dyDescent="0.3">
      <c r="A3" s="1">
        <v>45645</v>
      </c>
      <c r="B3" t="s">
        <v>20</v>
      </c>
      <c r="C3" t="s">
        <v>25</v>
      </c>
      <c r="D3">
        <v>1</v>
      </c>
      <c r="E3">
        <v>544.01</v>
      </c>
      <c r="F3" t="s">
        <v>32</v>
      </c>
      <c r="G3" t="s">
        <v>36</v>
      </c>
      <c r="H3">
        <v>0</v>
      </c>
      <c r="I3" t="s">
        <v>38</v>
      </c>
      <c r="J3">
        <v>544.01</v>
      </c>
      <c r="K3" t="s">
        <v>44</v>
      </c>
      <c r="L3" t="s">
        <v>49</v>
      </c>
      <c r="M3">
        <v>0</v>
      </c>
      <c r="N3" t="s">
        <v>52</v>
      </c>
      <c r="O3" t="s">
        <v>1552</v>
      </c>
      <c r="P3">
        <v>5.3</v>
      </c>
      <c r="Q3" s="1">
        <v>45645</v>
      </c>
      <c r="R3" s="1">
        <v>45654</v>
      </c>
      <c r="S3" t="s">
        <v>2923</v>
      </c>
    </row>
    <row r="4" spans="1:19" x14ac:dyDescent="0.3">
      <c r="A4" s="1">
        <v>45056</v>
      </c>
      <c r="B4" t="s">
        <v>21</v>
      </c>
      <c r="C4" t="s">
        <v>26</v>
      </c>
      <c r="D4">
        <v>14</v>
      </c>
      <c r="E4">
        <v>346.18</v>
      </c>
      <c r="F4" t="s">
        <v>31</v>
      </c>
      <c r="G4" t="s">
        <v>35</v>
      </c>
      <c r="H4">
        <v>0.1</v>
      </c>
      <c r="I4" t="s">
        <v>38</v>
      </c>
      <c r="J4">
        <v>4361.8680000000004</v>
      </c>
      <c r="K4" t="s">
        <v>43</v>
      </c>
      <c r="L4" t="s">
        <v>50</v>
      </c>
      <c r="M4">
        <v>0</v>
      </c>
      <c r="N4" t="s">
        <v>53</v>
      </c>
      <c r="O4" t="s">
        <v>1553</v>
      </c>
      <c r="P4">
        <v>20.46</v>
      </c>
      <c r="Q4" s="1">
        <v>45056</v>
      </c>
      <c r="R4" s="1">
        <v>45065</v>
      </c>
      <c r="S4" t="s">
        <v>2924</v>
      </c>
    </row>
    <row r="5" spans="1:19" x14ac:dyDescent="0.3">
      <c r="A5" s="1">
        <v>45714</v>
      </c>
      <c r="B5" t="s">
        <v>22</v>
      </c>
      <c r="C5" t="s">
        <v>27</v>
      </c>
      <c r="D5">
        <v>18</v>
      </c>
      <c r="E5">
        <v>384.82</v>
      </c>
      <c r="F5" t="s">
        <v>32</v>
      </c>
      <c r="G5" t="s">
        <v>35</v>
      </c>
      <c r="H5">
        <v>0.15</v>
      </c>
      <c r="I5" t="s">
        <v>39</v>
      </c>
      <c r="J5">
        <v>5887.7460000000001</v>
      </c>
      <c r="K5" t="s">
        <v>44</v>
      </c>
      <c r="L5" t="s">
        <v>48</v>
      </c>
      <c r="M5">
        <v>0</v>
      </c>
      <c r="N5" t="s">
        <v>54</v>
      </c>
      <c r="O5" t="s">
        <v>1554</v>
      </c>
      <c r="P5">
        <v>27.95</v>
      </c>
      <c r="Q5" s="1">
        <v>45714</v>
      </c>
      <c r="R5" s="1">
        <v>45718</v>
      </c>
      <c r="S5" t="s">
        <v>2925</v>
      </c>
    </row>
    <row r="6" spans="1:19" x14ac:dyDescent="0.3">
      <c r="A6" s="1">
        <v>45101</v>
      </c>
      <c r="B6" t="s">
        <v>19</v>
      </c>
      <c r="C6" t="s">
        <v>26</v>
      </c>
      <c r="D6">
        <v>18</v>
      </c>
      <c r="E6">
        <v>237.76</v>
      </c>
      <c r="F6" t="s">
        <v>33</v>
      </c>
      <c r="G6" t="s">
        <v>36</v>
      </c>
      <c r="H6">
        <v>0</v>
      </c>
      <c r="I6" t="s">
        <v>40</v>
      </c>
      <c r="J6">
        <v>4279.68</v>
      </c>
      <c r="K6" t="s">
        <v>43</v>
      </c>
      <c r="L6" t="s">
        <v>49</v>
      </c>
      <c r="M6">
        <v>0</v>
      </c>
      <c r="N6" t="s">
        <v>55</v>
      </c>
      <c r="O6" t="s">
        <v>1555</v>
      </c>
      <c r="P6">
        <v>5.73</v>
      </c>
      <c r="Q6" s="1">
        <v>45101</v>
      </c>
      <c r="R6" s="1">
        <v>45104</v>
      </c>
      <c r="S6" t="s">
        <v>2922</v>
      </c>
    </row>
    <row r="7" spans="1:19" x14ac:dyDescent="0.3">
      <c r="A7" s="1">
        <v>45342</v>
      </c>
      <c r="B7" t="s">
        <v>22</v>
      </c>
      <c r="C7" t="s">
        <v>28</v>
      </c>
      <c r="D7">
        <v>2</v>
      </c>
      <c r="E7">
        <v>385.09</v>
      </c>
      <c r="F7" t="s">
        <v>34</v>
      </c>
      <c r="G7" t="s">
        <v>35</v>
      </c>
      <c r="H7">
        <v>0.15</v>
      </c>
      <c r="I7" t="s">
        <v>41</v>
      </c>
      <c r="J7">
        <v>654.65299999999991</v>
      </c>
      <c r="K7" t="s">
        <v>45</v>
      </c>
      <c r="L7" t="s">
        <v>2927</v>
      </c>
      <c r="M7">
        <v>0</v>
      </c>
      <c r="N7" t="s">
        <v>56</v>
      </c>
      <c r="O7" t="s">
        <v>1556</v>
      </c>
      <c r="P7">
        <v>11.92</v>
      </c>
      <c r="Q7" s="1">
        <v>45342</v>
      </c>
      <c r="R7" s="1">
        <v>45352</v>
      </c>
      <c r="S7" t="s">
        <v>2925</v>
      </c>
    </row>
    <row r="8" spans="1:19" x14ac:dyDescent="0.3">
      <c r="A8" s="1">
        <v>44937</v>
      </c>
      <c r="B8" t="s">
        <v>20</v>
      </c>
      <c r="C8" t="s">
        <v>27</v>
      </c>
      <c r="D8">
        <v>7</v>
      </c>
      <c r="E8">
        <v>17.5</v>
      </c>
      <c r="F8" t="s">
        <v>33</v>
      </c>
      <c r="G8" t="s">
        <v>36</v>
      </c>
      <c r="H8">
        <v>0.1</v>
      </c>
      <c r="I8" t="s">
        <v>38</v>
      </c>
      <c r="J8">
        <v>110.25</v>
      </c>
      <c r="K8" t="s">
        <v>46</v>
      </c>
      <c r="L8" t="s">
        <v>50</v>
      </c>
      <c r="M8">
        <v>0</v>
      </c>
      <c r="N8" t="s">
        <v>57</v>
      </c>
      <c r="O8" t="s">
        <v>1557</v>
      </c>
      <c r="P8">
        <v>5.0199999999999996</v>
      </c>
      <c r="Q8" s="1">
        <v>44937</v>
      </c>
      <c r="R8" s="1">
        <v>44940</v>
      </c>
      <c r="S8" t="s">
        <v>2923</v>
      </c>
    </row>
    <row r="9" spans="1:19" x14ac:dyDescent="0.3">
      <c r="A9" s="1">
        <v>44935</v>
      </c>
      <c r="B9" t="s">
        <v>22</v>
      </c>
      <c r="C9" t="s">
        <v>27</v>
      </c>
      <c r="D9">
        <v>3</v>
      </c>
      <c r="E9">
        <v>330.22</v>
      </c>
      <c r="F9" t="s">
        <v>33</v>
      </c>
      <c r="G9" t="s">
        <v>35</v>
      </c>
      <c r="H9">
        <v>0.15</v>
      </c>
      <c r="I9" t="s">
        <v>40</v>
      </c>
      <c r="J9">
        <v>842.06100000000004</v>
      </c>
      <c r="K9" t="s">
        <v>47</v>
      </c>
      <c r="L9" t="s">
        <v>2927</v>
      </c>
      <c r="M9">
        <v>0</v>
      </c>
      <c r="N9" t="s">
        <v>58</v>
      </c>
      <c r="O9" t="s">
        <v>1558</v>
      </c>
      <c r="P9">
        <v>48.01</v>
      </c>
      <c r="Q9" s="1">
        <v>44935</v>
      </c>
      <c r="R9" s="1">
        <v>44937</v>
      </c>
      <c r="S9" t="s">
        <v>2925</v>
      </c>
    </row>
    <row r="10" spans="1:19" x14ac:dyDescent="0.3">
      <c r="A10" s="1">
        <v>45581</v>
      </c>
      <c r="B10" t="s">
        <v>20</v>
      </c>
      <c r="C10" t="s">
        <v>27</v>
      </c>
      <c r="D10">
        <v>3</v>
      </c>
      <c r="E10">
        <v>432.04</v>
      </c>
      <c r="F10" t="s">
        <v>34</v>
      </c>
      <c r="G10" t="s">
        <v>35</v>
      </c>
      <c r="H10">
        <v>0.05</v>
      </c>
      <c r="I10" t="s">
        <v>42</v>
      </c>
      <c r="J10">
        <v>1231.3140000000001</v>
      </c>
      <c r="K10" t="s">
        <v>46</v>
      </c>
      <c r="L10" t="s">
        <v>48</v>
      </c>
      <c r="M10">
        <v>1</v>
      </c>
      <c r="N10" t="s">
        <v>59</v>
      </c>
      <c r="O10" t="s">
        <v>1559</v>
      </c>
      <c r="P10">
        <v>42.11</v>
      </c>
      <c r="Q10" s="1">
        <v>45581</v>
      </c>
      <c r="R10" s="1">
        <v>45583</v>
      </c>
      <c r="S10" t="s">
        <v>2923</v>
      </c>
    </row>
    <row r="11" spans="1:19" x14ac:dyDescent="0.3">
      <c r="A11" s="1">
        <v>45721</v>
      </c>
      <c r="B11" t="s">
        <v>23</v>
      </c>
      <c r="C11" t="s">
        <v>26</v>
      </c>
      <c r="D11">
        <v>5</v>
      </c>
      <c r="E11">
        <v>323.27999999999997</v>
      </c>
      <c r="F11" t="s">
        <v>34</v>
      </c>
      <c r="G11" t="s">
        <v>36</v>
      </c>
      <c r="H11">
        <v>0.1</v>
      </c>
      <c r="I11" t="s">
        <v>39</v>
      </c>
      <c r="J11">
        <v>1454.76</v>
      </c>
      <c r="K11" t="s">
        <v>44</v>
      </c>
      <c r="L11" t="s">
        <v>49</v>
      </c>
      <c r="M11">
        <v>0</v>
      </c>
      <c r="N11" t="s">
        <v>60</v>
      </c>
      <c r="O11" t="s">
        <v>1560</v>
      </c>
      <c r="P11">
        <v>41.1</v>
      </c>
      <c r="Q11" s="1">
        <v>45721</v>
      </c>
      <c r="R11" s="1">
        <v>45729</v>
      </c>
      <c r="S11" t="s">
        <v>2926</v>
      </c>
    </row>
    <row r="12" spans="1:19" x14ac:dyDescent="0.3">
      <c r="A12" s="1">
        <v>45392</v>
      </c>
      <c r="B12" t="s">
        <v>21</v>
      </c>
      <c r="C12" t="s">
        <v>26</v>
      </c>
      <c r="D12">
        <v>15</v>
      </c>
      <c r="E12">
        <v>523.29</v>
      </c>
      <c r="F12" t="s">
        <v>31</v>
      </c>
      <c r="G12" t="s">
        <v>35</v>
      </c>
      <c r="H12">
        <v>0.15</v>
      </c>
      <c r="I12" t="s">
        <v>37</v>
      </c>
      <c r="J12">
        <v>6671.9474999999993</v>
      </c>
      <c r="K12" t="s">
        <v>46</v>
      </c>
      <c r="L12" t="s">
        <v>2927</v>
      </c>
      <c r="M12">
        <v>0</v>
      </c>
      <c r="N12" t="s">
        <v>61</v>
      </c>
      <c r="O12" t="s">
        <v>1561</v>
      </c>
      <c r="P12">
        <v>12.14</v>
      </c>
      <c r="Q12" s="1">
        <v>45392</v>
      </c>
      <c r="R12" s="1">
        <v>45399</v>
      </c>
      <c r="S12" t="s">
        <v>2924</v>
      </c>
    </row>
    <row r="13" spans="1:19" x14ac:dyDescent="0.3">
      <c r="A13" s="1">
        <v>45485</v>
      </c>
      <c r="B13" t="s">
        <v>19</v>
      </c>
      <c r="C13" t="s">
        <v>25</v>
      </c>
      <c r="D13">
        <v>19</v>
      </c>
      <c r="E13">
        <v>207.35</v>
      </c>
      <c r="F13" t="s">
        <v>34</v>
      </c>
      <c r="G13" t="s">
        <v>36</v>
      </c>
      <c r="H13">
        <v>0.1</v>
      </c>
      <c r="I13" t="s">
        <v>37</v>
      </c>
      <c r="J13">
        <v>3545.6849999999999</v>
      </c>
      <c r="K13" t="s">
        <v>44</v>
      </c>
      <c r="L13" t="s">
        <v>2927</v>
      </c>
      <c r="M13">
        <v>1</v>
      </c>
      <c r="N13" t="s">
        <v>62</v>
      </c>
      <c r="O13" t="s">
        <v>1562</v>
      </c>
      <c r="P13">
        <v>44.89</v>
      </c>
      <c r="Q13" s="1">
        <v>45485</v>
      </c>
      <c r="R13" s="1">
        <v>45491</v>
      </c>
      <c r="S13" t="s">
        <v>2922</v>
      </c>
    </row>
    <row r="14" spans="1:19" x14ac:dyDescent="0.3">
      <c r="A14" s="1">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1">
        <v>45128</v>
      </c>
      <c r="R14" s="1">
        <v>45138</v>
      </c>
      <c r="S14" t="s">
        <v>2925</v>
      </c>
    </row>
    <row r="15" spans="1:19" x14ac:dyDescent="0.3">
      <c r="A15" s="1">
        <v>45675</v>
      </c>
      <c r="B15" t="s">
        <v>23</v>
      </c>
      <c r="C15" t="s">
        <v>29</v>
      </c>
      <c r="D15">
        <v>1</v>
      </c>
      <c r="E15">
        <v>157.83000000000001</v>
      </c>
      <c r="F15" t="s">
        <v>32</v>
      </c>
      <c r="G15" t="s">
        <v>35</v>
      </c>
      <c r="H15">
        <v>0.15</v>
      </c>
      <c r="I15" t="s">
        <v>40</v>
      </c>
      <c r="J15">
        <v>134.15549999999999</v>
      </c>
      <c r="K15" t="s">
        <v>46</v>
      </c>
      <c r="L15" t="s">
        <v>2927</v>
      </c>
      <c r="M15">
        <v>0</v>
      </c>
      <c r="N15" t="s">
        <v>64</v>
      </c>
      <c r="O15" t="s">
        <v>1564</v>
      </c>
      <c r="P15">
        <v>42.82</v>
      </c>
      <c r="Q15" s="1">
        <v>45675</v>
      </c>
      <c r="R15" s="1">
        <v>45679</v>
      </c>
      <c r="S15" t="s">
        <v>2926</v>
      </c>
    </row>
    <row r="16" spans="1:19" x14ac:dyDescent="0.3">
      <c r="A16" s="1">
        <v>45634</v>
      </c>
      <c r="B16" t="s">
        <v>21</v>
      </c>
      <c r="C16" t="s">
        <v>26</v>
      </c>
      <c r="D16">
        <v>15</v>
      </c>
      <c r="E16">
        <v>220.3</v>
      </c>
      <c r="F16" t="s">
        <v>31</v>
      </c>
      <c r="G16" t="s">
        <v>36</v>
      </c>
      <c r="H16">
        <v>0.15</v>
      </c>
      <c r="I16" t="s">
        <v>41</v>
      </c>
      <c r="J16">
        <v>2808.8249999999998</v>
      </c>
      <c r="K16" t="s">
        <v>46</v>
      </c>
      <c r="L16" t="s">
        <v>2927</v>
      </c>
      <c r="M16">
        <v>0</v>
      </c>
      <c r="N16" t="s">
        <v>65</v>
      </c>
      <c r="O16" t="s">
        <v>1565</v>
      </c>
      <c r="P16">
        <v>39.659999999999997</v>
      </c>
      <c r="Q16" s="1">
        <v>45634</v>
      </c>
      <c r="R16" s="1">
        <v>45641</v>
      </c>
      <c r="S16" t="s">
        <v>2924</v>
      </c>
    </row>
    <row r="17" spans="1:19" x14ac:dyDescent="0.3">
      <c r="A17" s="1">
        <v>45788</v>
      </c>
      <c r="B17" t="s">
        <v>23</v>
      </c>
      <c r="C17" t="s">
        <v>27</v>
      </c>
      <c r="D17">
        <v>17</v>
      </c>
      <c r="E17">
        <v>162.96</v>
      </c>
      <c r="F17" t="s">
        <v>32</v>
      </c>
      <c r="G17" t="s">
        <v>35</v>
      </c>
      <c r="H17">
        <v>0.05</v>
      </c>
      <c r="I17" t="s">
        <v>37</v>
      </c>
      <c r="J17">
        <v>2631.8040000000001</v>
      </c>
      <c r="K17" t="s">
        <v>44</v>
      </c>
      <c r="L17" t="s">
        <v>48</v>
      </c>
      <c r="M17">
        <v>0</v>
      </c>
      <c r="N17" t="s">
        <v>66</v>
      </c>
      <c r="O17" t="s">
        <v>1566</v>
      </c>
      <c r="P17">
        <v>8.11</v>
      </c>
      <c r="Q17" s="1">
        <v>45788</v>
      </c>
      <c r="R17" s="1">
        <v>45794</v>
      </c>
      <c r="S17" t="s">
        <v>2926</v>
      </c>
    </row>
    <row r="18" spans="1:19" x14ac:dyDescent="0.3">
      <c r="A18" s="1">
        <v>44983</v>
      </c>
      <c r="B18" t="s">
        <v>23</v>
      </c>
      <c r="C18" t="s">
        <v>24</v>
      </c>
      <c r="D18">
        <v>19</v>
      </c>
      <c r="E18">
        <v>236.11</v>
      </c>
      <c r="F18" t="s">
        <v>34</v>
      </c>
      <c r="G18" t="s">
        <v>35</v>
      </c>
      <c r="H18">
        <v>0</v>
      </c>
      <c r="I18" t="s">
        <v>42</v>
      </c>
      <c r="J18">
        <v>4486.09</v>
      </c>
      <c r="K18" t="s">
        <v>43</v>
      </c>
      <c r="L18" t="s">
        <v>50</v>
      </c>
      <c r="M18">
        <v>0</v>
      </c>
      <c r="N18" t="s">
        <v>67</v>
      </c>
      <c r="O18" t="s">
        <v>1567</v>
      </c>
      <c r="P18">
        <v>34.11</v>
      </c>
      <c r="Q18" s="1">
        <v>44983</v>
      </c>
      <c r="R18" s="1">
        <v>44989</v>
      </c>
      <c r="S18" t="s">
        <v>2926</v>
      </c>
    </row>
    <row r="19" spans="1:19" x14ac:dyDescent="0.3">
      <c r="A19" s="1">
        <v>45440</v>
      </c>
      <c r="B19" t="s">
        <v>22</v>
      </c>
      <c r="C19" t="s">
        <v>26</v>
      </c>
      <c r="D19">
        <v>11</v>
      </c>
      <c r="E19">
        <v>573.14</v>
      </c>
      <c r="F19" t="s">
        <v>34</v>
      </c>
      <c r="G19" t="s">
        <v>36</v>
      </c>
      <c r="H19">
        <v>0.05</v>
      </c>
      <c r="I19" t="s">
        <v>41</v>
      </c>
      <c r="J19">
        <v>5989.3130000000001</v>
      </c>
      <c r="K19" t="s">
        <v>47</v>
      </c>
      <c r="L19" t="s">
        <v>49</v>
      </c>
      <c r="M19">
        <v>0</v>
      </c>
      <c r="N19" t="s">
        <v>68</v>
      </c>
      <c r="O19" t="s">
        <v>1568</v>
      </c>
      <c r="P19">
        <v>34.71</v>
      </c>
      <c r="Q19" s="1">
        <v>45440</v>
      </c>
      <c r="R19" s="1">
        <v>45444</v>
      </c>
      <c r="S19" t="s">
        <v>2925</v>
      </c>
    </row>
    <row r="20" spans="1:19" x14ac:dyDescent="0.3">
      <c r="A20" s="1">
        <v>45260</v>
      </c>
      <c r="B20" t="s">
        <v>19</v>
      </c>
      <c r="C20" t="s">
        <v>25</v>
      </c>
      <c r="D20">
        <v>20</v>
      </c>
      <c r="E20">
        <v>519.04</v>
      </c>
      <c r="F20" t="s">
        <v>31</v>
      </c>
      <c r="G20" t="s">
        <v>36</v>
      </c>
      <c r="H20">
        <v>0.15</v>
      </c>
      <c r="I20" t="s">
        <v>40</v>
      </c>
      <c r="J20">
        <v>8823.6799999999985</v>
      </c>
      <c r="K20" t="s">
        <v>44</v>
      </c>
      <c r="L20" t="s">
        <v>48</v>
      </c>
      <c r="M20">
        <v>0</v>
      </c>
      <c r="N20" t="s">
        <v>69</v>
      </c>
      <c r="O20" t="s">
        <v>1569</v>
      </c>
      <c r="P20">
        <v>19.43</v>
      </c>
      <c r="Q20" s="1">
        <v>45260</v>
      </c>
      <c r="R20" s="1">
        <v>45268</v>
      </c>
      <c r="S20" t="s">
        <v>2922</v>
      </c>
    </row>
    <row r="21" spans="1:19" x14ac:dyDescent="0.3">
      <c r="A21" s="1">
        <v>45099</v>
      </c>
      <c r="B21" t="s">
        <v>23</v>
      </c>
      <c r="C21" t="s">
        <v>26</v>
      </c>
      <c r="D21">
        <v>14</v>
      </c>
      <c r="E21">
        <v>30.83</v>
      </c>
      <c r="F21" t="s">
        <v>31</v>
      </c>
      <c r="G21" t="s">
        <v>36</v>
      </c>
      <c r="H21">
        <v>0</v>
      </c>
      <c r="I21" t="s">
        <v>40</v>
      </c>
      <c r="J21">
        <v>431.62</v>
      </c>
      <c r="K21" t="s">
        <v>43</v>
      </c>
      <c r="L21" t="s">
        <v>50</v>
      </c>
      <c r="M21">
        <v>1</v>
      </c>
      <c r="N21" t="s">
        <v>70</v>
      </c>
      <c r="O21" t="s">
        <v>1570</v>
      </c>
      <c r="P21">
        <v>7.1</v>
      </c>
      <c r="Q21" s="1">
        <v>45099</v>
      </c>
      <c r="R21" s="1">
        <v>45109</v>
      </c>
      <c r="S21" t="s">
        <v>2926</v>
      </c>
    </row>
    <row r="22" spans="1:19" x14ac:dyDescent="0.3">
      <c r="A22" s="1">
        <v>45813</v>
      </c>
      <c r="B22" t="s">
        <v>23</v>
      </c>
      <c r="C22" t="s">
        <v>25</v>
      </c>
      <c r="D22">
        <v>10</v>
      </c>
      <c r="E22">
        <v>319.05</v>
      </c>
      <c r="F22" t="s">
        <v>34</v>
      </c>
      <c r="G22" t="s">
        <v>35</v>
      </c>
      <c r="H22">
        <v>0</v>
      </c>
      <c r="I22" t="s">
        <v>41</v>
      </c>
      <c r="J22">
        <v>3190.5</v>
      </c>
      <c r="K22" t="s">
        <v>43</v>
      </c>
      <c r="L22" t="s">
        <v>2927</v>
      </c>
      <c r="M22">
        <v>0</v>
      </c>
      <c r="N22" t="s">
        <v>71</v>
      </c>
      <c r="O22" t="s">
        <v>1571</v>
      </c>
      <c r="P22">
        <v>28.43</v>
      </c>
      <c r="Q22" s="1">
        <v>45813</v>
      </c>
      <c r="R22" s="1">
        <v>45816</v>
      </c>
      <c r="S22" t="s">
        <v>2926</v>
      </c>
    </row>
    <row r="23" spans="1:19" x14ac:dyDescent="0.3">
      <c r="A23" s="1">
        <v>44988</v>
      </c>
      <c r="B23" t="s">
        <v>22</v>
      </c>
      <c r="C23" t="s">
        <v>27</v>
      </c>
      <c r="D23">
        <v>14</v>
      </c>
      <c r="E23">
        <v>312.79000000000002</v>
      </c>
      <c r="F23" t="s">
        <v>32</v>
      </c>
      <c r="G23" t="s">
        <v>36</v>
      </c>
      <c r="H23">
        <v>0.05</v>
      </c>
      <c r="I23" t="s">
        <v>42</v>
      </c>
      <c r="J23">
        <v>4160.107</v>
      </c>
      <c r="K23" t="s">
        <v>43</v>
      </c>
      <c r="L23" t="s">
        <v>2927</v>
      </c>
      <c r="M23">
        <v>1</v>
      </c>
      <c r="N23" t="s">
        <v>72</v>
      </c>
      <c r="O23" t="s">
        <v>1572</v>
      </c>
      <c r="P23">
        <v>46.83</v>
      </c>
      <c r="Q23" s="1">
        <v>44988</v>
      </c>
      <c r="R23" s="1">
        <v>44993</v>
      </c>
      <c r="S23" t="s">
        <v>2925</v>
      </c>
    </row>
    <row r="24" spans="1:19" x14ac:dyDescent="0.3">
      <c r="A24" s="1">
        <v>45340</v>
      </c>
      <c r="B24" t="s">
        <v>21</v>
      </c>
      <c r="C24" t="s">
        <v>24</v>
      </c>
      <c r="D24">
        <v>14</v>
      </c>
      <c r="E24">
        <v>395.45</v>
      </c>
      <c r="F24" t="s">
        <v>33</v>
      </c>
      <c r="G24" t="s">
        <v>36</v>
      </c>
      <c r="H24">
        <v>0</v>
      </c>
      <c r="I24" t="s">
        <v>40</v>
      </c>
      <c r="J24">
        <v>5536.3</v>
      </c>
      <c r="K24" t="s">
        <v>47</v>
      </c>
      <c r="L24" t="s">
        <v>48</v>
      </c>
      <c r="M24">
        <v>1</v>
      </c>
      <c r="N24" t="s">
        <v>73</v>
      </c>
      <c r="O24" t="s">
        <v>1573</v>
      </c>
      <c r="P24">
        <v>36.450000000000003</v>
      </c>
      <c r="Q24" s="1">
        <v>45340</v>
      </c>
      <c r="R24" s="1">
        <v>45344</v>
      </c>
      <c r="S24" t="s">
        <v>2924</v>
      </c>
    </row>
    <row r="25" spans="1:19" x14ac:dyDescent="0.3">
      <c r="A25" s="1">
        <v>45144</v>
      </c>
      <c r="B25" t="s">
        <v>22</v>
      </c>
      <c r="C25" t="s">
        <v>24</v>
      </c>
      <c r="D25">
        <v>12</v>
      </c>
      <c r="E25">
        <v>472.72</v>
      </c>
      <c r="F25" t="s">
        <v>34</v>
      </c>
      <c r="G25" t="s">
        <v>36</v>
      </c>
      <c r="H25">
        <v>0.15</v>
      </c>
      <c r="I25" t="s">
        <v>41</v>
      </c>
      <c r="J25">
        <v>4821.7440000000006</v>
      </c>
      <c r="K25" t="s">
        <v>45</v>
      </c>
      <c r="L25" t="s">
        <v>2927</v>
      </c>
      <c r="M25">
        <v>0</v>
      </c>
      <c r="N25" t="s">
        <v>74</v>
      </c>
      <c r="O25" t="s">
        <v>1574</v>
      </c>
      <c r="P25">
        <v>27.97</v>
      </c>
      <c r="Q25" s="1">
        <v>45144</v>
      </c>
      <c r="R25" s="1">
        <v>45152</v>
      </c>
      <c r="S25" t="s">
        <v>2925</v>
      </c>
    </row>
    <row r="26" spans="1:19" x14ac:dyDescent="0.3">
      <c r="A26" s="1">
        <v>45435</v>
      </c>
      <c r="B26" t="s">
        <v>21</v>
      </c>
      <c r="C26" t="s">
        <v>26</v>
      </c>
      <c r="D26">
        <v>5</v>
      </c>
      <c r="E26">
        <v>288.01</v>
      </c>
      <c r="F26" t="s">
        <v>32</v>
      </c>
      <c r="G26" t="s">
        <v>35</v>
      </c>
      <c r="H26">
        <v>0</v>
      </c>
      <c r="I26" t="s">
        <v>37</v>
      </c>
      <c r="J26">
        <v>1440.05</v>
      </c>
      <c r="K26" t="s">
        <v>45</v>
      </c>
      <c r="L26" t="s">
        <v>48</v>
      </c>
      <c r="M26">
        <v>0</v>
      </c>
      <c r="N26" t="s">
        <v>75</v>
      </c>
      <c r="O26" t="s">
        <v>1575</v>
      </c>
      <c r="P26">
        <v>46.69</v>
      </c>
      <c r="Q26" s="1">
        <v>45435</v>
      </c>
      <c r="R26" s="1">
        <v>45442</v>
      </c>
      <c r="S26" t="s">
        <v>2924</v>
      </c>
    </row>
    <row r="27" spans="1:19" x14ac:dyDescent="0.3">
      <c r="A27" s="1">
        <v>45222</v>
      </c>
      <c r="B27" t="s">
        <v>19</v>
      </c>
      <c r="C27" t="s">
        <v>25</v>
      </c>
      <c r="D27">
        <v>13</v>
      </c>
      <c r="E27">
        <v>562.29</v>
      </c>
      <c r="F27" t="s">
        <v>34</v>
      </c>
      <c r="G27" t="s">
        <v>36</v>
      </c>
      <c r="H27">
        <v>0</v>
      </c>
      <c r="I27" t="s">
        <v>41</v>
      </c>
      <c r="J27">
        <v>7309.77</v>
      </c>
      <c r="K27" t="s">
        <v>44</v>
      </c>
      <c r="L27" t="s">
        <v>49</v>
      </c>
      <c r="M27">
        <v>0</v>
      </c>
      <c r="N27" t="s">
        <v>76</v>
      </c>
      <c r="O27" t="s">
        <v>1576</v>
      </c>
      <c r="P27">
        <v>38.130000000000003</v>
      </c>
      <c r="Q27" s="1">
        <v>45222</v>
      </c>
      <c r="R27" s="1">
        <v>45227</v>
      </c>
      <c r="S27" t="s">
        <v>2922</v>
      </c>
    </row>
    <row r="28" spans="1:19" x14ac:dyDescent="0.3">
      <c r="A28" s="1">
        <v>45824</v>
      </c>
      <c r="B28" t="s">
        <v>23</v>
      </c>
      <c r="C28" t="s">
        <v>25</v>
      </c>
      <c r="D28">
        <v>1</v>
      </c>
      <c r="E28">
        <v>101.73</v>
      </c>
      <c r="F28" t="s">
        <v>34</v>
      </c>
      <c r="G28" t="s">
        <v>36</v>
      </c>
      <c r="H28">
        <v>0</v>
      </c>
      <c r="I28" t="s">
        <v>39</v>
      </c>
      <c r="J28">
        <v>101.73</v>
      </c>
      <c r="K28" t="s">
        <v>46</v>
      </c>
      <c r="L28" t="s">
        <v>50</v>
      </c>
      <c r="M28">
        <v>0</v>
      </c>
      <c r="N28" t="s">
        <v>77</v>
      </c>
      <c r="O28" t="s">
        <v>1577</v>
      </c>
      <c r="P28">
        <v>11.59</v>
      </c>
      <c r="Q28" s="1">
        <v>45824</v>
      </c>
      <c r="R28" s="1">
        <v>45833</v>
      </c>
      <c r="S28" t="s">
        <v>2926</v>
      </c>
    </row>
    <row r="29" spans="1:19" x14ac:dyDescent="0.3">
      <c r="A29" s="1">
        <v>44988</v>
      </c>
      <c r="B29" t="s">
        <v>21</v>
      </c>
      <c r="C29" t="s">
        <v>25</v>
      </c>
      <c r="D29">
        <v>4</v>
      </c>
      <c r="E29">
        <v>279.49</v>
      </c>
      <c r="F29" t="s">
        <v>31</v>
      </c>
      <c r="G29" t="s">
        <v>36</v>
      </c>
      <c r="H29">
        <v>0</v>
      </c>
      <c r="I29" t="s">
        <v>41</v>
      </c>
      <c r="J29">
        <v>1117.96</v>
      </c>
      <c r="K29" t="s">
        <v>45</v>
      </c>
      <c r="L29" t="s">
        <v>48</v>
      </c>
      <c r="M29">
        <v>0</v>
      </c>
      <c r="N29" t="s">
        <v>78</v>
      </c>
      <c r="O29" t="s">
        <v>1578</v>
      </c>
      <c r="P29">
        <v>24.78</v>
      </c>
      <c r="Q29" s="1">
        <v>44988</v>
      </c>
      <c r="R29" s="1">
        <v>44993</v>
      </c>
      <c r="S29" t="s">
        <v>2924</v>
      </c>
    </row>
    <row r="30" spans="1:19" x14ac:dyDescent="0.3">
      <c r="A30" s="1">
        <v>45614</v>
      </c>
      <c r="B30" t="s">
        <v>20</v>
      </c>
      <c r="C30" t="s">
        <v>24</v>
      </c>
      <c r="D30">
        <v>1</v>
      </c>
      <c r="E30">
        <v>178.55</v>
      </c>
      <c r="F30" t="s">
        <v>32</v>
      </c>
      <c r="G30" t="s">
        <v>36</v>
      </c>
      <c r="H30">
        <v>0.15</v>
      </c>
      <c r="I30" t="s">
        <v>40</v>
      </c>
      <c r="J30">
        <v>151.76750000000001</v>
      </c>
      <c r="K30" t="s">
        <v>46</v>
      </c>
      <c r="L30" t="s">
        <v>49</v>
      </c>
      <c r="M30">
        <v>1</v>
      </c>
      <c r="N30" t="s">
        <v>79</v>
      </c>
      <c r="O30" t="s">
        <v>1579</v>
      </c>
      <c r="P30">
        <v>7.61</v>
      </c>
      <c r="Q30" s="1">
        <v>45614</v>
      </c>
      <c r="R30" s="1">
        <v>45617</v>
      </c>
      <c r="S30" t="s">
        <v>2923</v>
      </c>
    </row>
    <row r="31" spans="1:19" x14ac:dyDescent="0.3">
      <c r="A31" s="1">
        <v>45055</v>
      </c>
      <c r="B31" t="s">
        <v>22</v>
      </c>
      <c r="C31" t="s">
        <v>29</v>
      </c>
      <c r="D31">
        <v>1</v>
      </c>
      <c r="E31">
        <v>472.07</v>
      </c>
      <c r="F31" t="s">
        <v>32</v>
      </c>
      <c r="G31" t="s">
        <v>35</v>
      </c>
      <c r="H31">
        <v>0.1</v>
      </c>
      <c r="I31" t="s">
        <v>40</v>
      </c>
      <c r="J31">
        <v>424.863</v>
      </c>
      <c r="K31" t="s">
        <v>43</v>
      </c>
      <c r="L31" t="s">
        <v>48</v>
      </c>
      <c r="M31">
        <v>0</v>
      </c>
      <c r="N31" t="s">
        <v>80</v>
      </c>
      <c r="O31" t="s">
        <v>1580</v>
      </c>
      <c r="P31">
        <v>33.17</v>
      </c>
      <c r="Q31" s="1">
        <v>45055</v>
      </c>
      <c r="R31" s="1">
        <v>45063</v>
      </c>
      <c r="S31" t="s">
        <v>2925</v>
      </c>
    </row>
    <row r="32" spans="1:19" x14ac:dyDescent="0.3">
      <c r="A32" s="1">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1">
        <v>45633</v>
      </c>
      <c r="R32" s="1">
        <v>45640</v>
      </c>
      <c r="S32" t="s">
        <v>2924</v>
      </c>
    </row>
    <row r="33" spans="1:19" x14ac:dyDescent="0.3">
      <c r="A33" s="1">
        <v>45335</v>
      </c>
      <c r="B33" t="s">
        <v>21</v>
      </c>
      <c r="C33" t="s">
        <v>25</v>
      </c>
      <c r="D33">
        <v>7</v>
      </c>
      <c r="E33">
        <v>434.77</v>
      </c>
      <c r="F33" t="s">
        <v>33</v>
      </c>
      <c r="G33" t="s">
        <v>36</v>
      </c>
      <c r="H33">
        <v>0.15</v>
      </c>
      <c r="I33" t="s">
        <v>39</v>
      </c>
      <c r="J33">
        <v>2586.8815</v>
      </c>
      <c r="K33" t="s">
        <v>43</v>
      </c>
      <c r="L33" t="s">
        <v>49</v>
      </c>
      <c r="M33">
        <v>0</v>
      </c>
      <c r="N33" t="s">
        <v>82</v>
      </c>
      <c r="O33" t="s">
        <v>1582</v>
      </c>
      <c r="P33">
        <v>12.35</v>
      </c>
      <c r="Q33" s="1">
        <v>45335</v>
      </c>
      <c r="R33" s="1">
        <v>45337</v>
      </c>
      <c r="S33" t="s">
        <v>2924</v>
      </c>
    </row>
    <row r="34" spans="1:19" x14ac:dyDescent="0.3">
      <c r="A34" s="1">
        <v>45725</v>
      </c>
      <c r="B34" t="s">
        <v>20</v>
      </c>
      <c r="C34" t="s">
        <v>26</v>
      </c>
      <c r="D34">
        <v>6</v>
      </c>
      <c r="E34">
        <v>64.98</v>
      </c>
      <c r="F34" t="s">
        <v>33</v>
      </c>
      <c r="G34" t="s">
        <v>36</v>
      </c>
      <c r="H34">
        <v>0</v>
      </c>
      <c r="I34" t="s">
        <v>40</v>
      </c>
      <c r="J34">
        <v>389.88</v>
      </c>
      <c r="K34" t="s">
        <v>46</v>
      </c>
      <c r="L34" t="s">
        <v>50</v>
      </c>
      <c r="M34">
        <v>0</v>
      </c>
      <c r="N34" t="s">
        <v>83</v>
      </c>
      <c r="O34" t="s">
        <v>1583</v>
      </c>
      <c r="P34">
        <v>21.25</v>
      </c>
      <c r="Q34" s="1">
        <v>45725</v>
      </c>
      <c r="R34" s="1">
        <v>45731</v>
      </c>
      <c r="S34" t="s">
        <v>2923</v>
      </c>
    </row>
    <row r="35" spans="1:19" x14ac:dyDescent="0.3">
      <c r="A35" s="1">
        <v>45021</v>
      </c>
      <c r="B35" t="s">
        <v>22</v>
      </c>
      <c r="C35" t="s">
        <v>26</v>
      </c>
      <c r="D35">
        <v>17</v>
      </c>
      <c r="E35">
        <v>476.49</v>
      </c>
      <c r="F35" t="s">
        <v>34</v>
      </c>
      <c r="G35" t="s">
        <v>36</v>
      </c>
      <c r="H35">
        <v>0</v>
      </c>
      <c r="I35" t="s">
        <v>38</v>
      </c>
      <c r="J35">
        <v>8100.33</v>
      </c>
      <c r="K35" t="s">
        <v>44</v>
      </c>
      <c r="L35" t="s">
        <v>2927</v>
      </c>
      <c r="M35">
        <v>0</v>
      </c>
      <c r="N35" t="s">
        <v>84</v>
      </c>
      <c r="O35" t="s">
        <v>1584</v>
      </c>
      <c r="P35">
        <v>17.91</v>
      </c>
      <c r="Q35" s="1">
        <v>45021</v>
      </c>
      <c r="R35" s="1">
        <v>45027</v>
      </c>
      <c r="S35" t="s">
        <v>2925</v>
      </c>
    </row>
    <row r="36" spans="1:19" x14ac:dyDescent="0.3">
      <c r="A36" s="1">
        <v>45785</v>
      </c>
      <c r="B36" t="s">
        <v>21</v>
      </c>
      <c r="C36" t="s">
        <v>28</v>
      </c>
      <c r="D36">
        <v>4</v>
      </c>
      <c r="E36">
        <v>559.72</v>
      </c>
      <c r="F36" t="s">
        <v>34</v>
      </c>
      <c r="G36" t="s">
        <v>36</v>
      </c>
      <c r="H36">
        <v>0.15</v>
      </c>
      <c r="I36" t="s">
        <v>41</v>
      </c>
      <c r="J36">
        <v>1903.048</v>
      </c>
      <c r="K36" t="s">
        <v>43</v>
      </c>
      <c r="L36" t="s">
        <v>49</v>
      </c>
      <c r="M36">
        <v>0</v>
      </c>
      <c r="N36" t="s">
        <v>85</v>
      </c>
      <c r="O36" t="s">
        <v>1585</v>
      </c>
      <c r="P36">
        <v>41.91</v>
      </c>
      <c r="Q36" s="1">
        <v>45785</v>
      </c>
      <c r="R36" s="1">
        <v>45789</v>
      </c>
      <c r="S36" t="s">
        <v>2924</v>
      </c>
    </row>
    <row r="37" spans="1:19" x14ac:dyDescent="0.3">
      <c r="A37" s="1">
        <v>45172</v>
      </c>
      <c r="B37" t="s">
        <v>21</v>
      </c>
      <c r="C37" t="s">
        <v>29</v>
      </c>
      <c r="D37">
        <v>14</v>
      </c>
      <c r="E37">
        <v>82.14</v>
      </c>
      <c r="F37" t="s">
        <v>33</v>
      </c>
      <c r="G37" t="s">
        <v>36</v>
      </c>
      <c r="H37">
        <v>0</v>
      </c>
      <c r="I37" t="s">
        <v>38</v>
      </c>
      <c r="J37">
        <v>1149.96</v>
      </c>
      <c r="K37" t="s">
        <v>45</v>
      </c>
      <c r="L37" t="s">
        <v>2927</v>
      </c>
      <c r="M37">
        <v>0</v>
      </c>
      <c r="N37" t="s">
        <v>86</v>
      </c>
      <c r="O37" t="s">
        <v>1586</v>
      </c>
      <c r="P37">
        <v>12.57</v>
      </c>
      <c r="Q37" s="1">
        <v>45172</v>
      </c>
      <c r="R37" s="1">
        <v>45180</v>
      </c>
      <c r="S37" t="s">
        <v>2924</v>
      </c>
    </row>
    <row r="38" spans="1:19" x14ac:dyDescent="0.3">
      <c r="A38" s="1">
        <v>45737</v>
      </c>
      <c r="B38" t="s">
        <v>22</v>
      </c>
      <c r="C38" t="s">
        <v>27</v>
      </c>
      <c r="D38">
        <v>9</v>
      </c>
      <c r="E38">
        <v>343.21</v>
      </c>
      <c r="F38" t="s">
        <v>32</v>
      </c>
      <c r="G38" t="s">
        <v>36</v>
      </c>
      <c r="H38">
        <v>0.05</v>
      </c>
      <c r="I38" t="s">
        <v>40</v>
      </c>
      <c r="J38">
        <v>2934.4454999999998</v>
      </c>
      <c r="K38" t="s">
        <v>46</v>
      </c>
      <c r="L38" t="s">
        <v>48</v>
      </c>
      <c r="M38">
        <v>0</v>
      </c>
      <c r="N38" t="s">
        <v>87</v>
      </c>
      <c r="O38" t="s">
        <v>1587</v>
      </c>
      <c r="P38">
        <v>40.29</v>
      </c>
      <c r="Q38" s="1">
        <v>45737</v>
      </c>
      <c r="R38" s="1">
        <v>45744</v>
      </c>
      <c r="S38" t="s">
        <v>2925</v>
      </c>
    </row>
    <row r="39" spans="1:19" x14ac:dyDescent="0.3">
      <c r="A39" s="1">
        <v>45828</v>
      </c>
      <c r="B39" t="s">
        <v>20</v>
      </c>
      <c r="C39" t="s">
        <v>27</v>
      </c>
      <c r="D39">
        <v>7</v>
      </c>
      <c r="E39">
        <v>301.01</v>
      </c>
      <c r="F39" t="s">
        <v>31</v>
      </c>
      <c r="G39" t="s">
        <v>36</v>
      </c>
      <c r="H39">
        <v>0.15</v>
      </c>
      <c r="I39" t="s">
        <v>41</v>
      </c>
      <c r="J39">
        <v>1791.0094999999999</v>
      </c>
      <c r="K39" t="s">
        <v>47</v>
      </c>
      <c r="L39" t="s">
        <v>49</v>
      </c>
      <c r="M39">
        <v>1</v>
      </c>
      <c r="N39" t="s">
        <v>88</v>
      </c>
      <c r="O39" t="s">
        <v>1588</v>
      </c>
      <c r="P39">
        <v>34.97</v>
      </c>
      <c r="Q39" s="1">
        <v>45828</v>
      </c>
      <c r="R39" s="1">
        <v>45838</v>
      </c>
      <c r="S39" t="s">
        <v>2923</v>
      </c>
    </row>
    <row r="40" spans="1:19" x14ac:dyDescent="0.3">
      <c r="A40" s="1">
        <v>45337</v>
      </c>
      <c r="B40" t="s">
        <v>22</v>
      </c>
      <c r="C40" t="s">
        <v>30</v>
      </c>
      <c r="D40">
        <v>14</v>
      </c>
      <c r="E40">
        <v>428.13</v>
      </c>
      <c r="F40" t="s">
        <v>33</v>
      </c>
      <c r="G40" t="s">
        <v>36</v>
      </c>
      <c r="H40">
        <v>0.1</v>
      </c>
      <c r="I40" t="s">
        <v>42</v>
      </c>
      <c r="J40">
        <v>5394.4380000000001</v>
      </c>
      <c r="K40" t="s">
        <v>47</v>
      </c>
      <c r="L40" t="s">
        <v>2927</v>
      </c>
      <c r="M40">
        <v>1</v>
      </c>
      <c r="N40" t="s">
        <v>89</v>
      </c>
      <c r="O40" t="s">
        <v>1589</v>
      </c>
      <c r="P40">
        <v>24.77</v>
      </c>
      <c r="Q40" s="1">
        <v>45337</v>
      </c>
      <c r="R40" s="1">
        <v>45347</v>
      </c>
      <c r="S40" t="s">
        <v>2925</v>
      </c>
    </row>
    <row r="41" spans="1:19" x14ac:dyDescent="0.3">
      <c r="A41" s="1">
        <v>45086</v>
      </c>
      <c r="B41" t="s">
        <v>22</v>
      </c>
      <c r="C41" t="s">
        <v>24</v>
      </c>
      <c r="D41">
        <v>2</v>
      </c>
      <c r="E41">
        <v>503.28</v>
      </c>
      <c r="F41" t="s">
        <v>34</v>
      </c>
      <c r="G41" t="s">
        <v>36</v>
      </c>
      <c r="H41">
        <v>0.15</v>
      </c>
      <c r="I41" t="s">
        <v>38</v>
      </c>
      <c r="J41">
        <v>855.57599999999991</v>
      </c>
      <c r="K41" t="s">
        <v>44</v>
      </c>
      <c r="L41" t="s">
        <v>2927</v>
      </c>
      <c r="M41">
        <v>0</v>
      </c>
      <c r="N41" t="s">
        <v>90</v>
      </c>
      <c r="O41" t="s">
        <v>1590</v>
      </c>
      <c r="P41">
        <v>34.79</v>
      </c>
      <c r="Q41" s="1">
        <v>45086</v>
      </c>
      <c r="R41" s="1">
        <v>45094</v>
      </c>
      <c r="S41" t="s">
        <v>2925</v>
      </c>
    </row>
    <row r="42" spans="1:19" x14ac:dyDescent="0.3">
      <c r="A42" s="1">
        <v>45148</v>
      </c>
      <c r="B42" t="s">
        <v>20</v>
      </c>
      <c r="C42" t="s">
        <v>30</v>
      </c>
      <c r="D42">
        <v>5</v>
      </c>
      <c r="E42">
        <v>470.32</v>
      </c>
      <c r="F42" t="s">
        <v>32</v>
      </c>
      <c r="G42" t="s">
        <v>36</v>
      </c>
      <c r="H42">
        <v>0.1</v>
      </c>
      <c r="I42" t="s">
        <v>37</v>
      </c>
      <c r="J42">
        <v>2116.44</v>
      </c>
      <c r="K42" t="s">
        <v>46</v>
      </c>
      <c r="L42" t="s">
        <v>49</v>
      </c>
      <c r="M42">
        <v>0</v>
      </c>
      <c r="N42" t="s">
        <v>91</v>
      </c>
      <c r="O42" t="s">
        <v>1591</v>
      </c>
      <c r="P42">
        <v>17.77</v>
      </c>
      <c r="Q42" s="1">
        <v>45148</v>
      </c>
      <c r="R42" s="1">
        <v>45152</v>
      </c>
      <c r="S42" t="s">
        <v>2923</v>
      </c>
    </row>
    <row r="43" spans="1:19" x14ac:dyDescent="0.3">
      <c r="A43" s="1">
        <v>45459</v>
      </c>
      <c r="B43" t="s">
        <v>22</v>
      </c>
      <c r="C43" t="s">
        <v>30</v>
      </c>
      <c r="D43">
        <v>20</v>
      </c>
      <c r="E43">
        <v>65.17</v>
      </c>
      <c r="F43" t="s">
        <v>33</v>
      </c>
      <c r="G43" t="s">
        <v>35</v>
      </c>
      <c r="H43">
        <v>0.05</v>
      </c>
      <c r="I43" t="s">
        <v>37</v>
      </c>
      <c r="J43">
        <v>1238.23</v>
      </c>
      <c r="K43" t="s">
        <v>44</v>
      </c>
      <c r="L43" t="s">
        <v>48</v>
      </c>
      <c r="M43">
        <v>0</v>
      </c>
      <c r="N43" t="s">
        <v>92</v>
      </c>
      <c r="O43" t="s">
        <v>1592</v>
      </c>
      <c r="P43">
        <v>21.72</v>
      </c>
      <c r="Q43" s="1">
        <v>45459</v>
      </c>
      <c r="R43" s="1">
        <v>45468</v>
      </c>
      <c r="S43" t="s">
        <v>2925</v>
      </c>
    </row>
    <row r="44" spans="1:19" x14ac:dyDescent="0.3">
      <c r="A44" s="1">
        <v>45130</v>
      </c>
      <c r="B44" t="s">
        <v>20</v>
      </c>
      <c r="C44" t="s">
        <v>24</v>
      </c>
      <c r="D44">
        <v>12</v>
      </c>
      <c r="E44">
        <v>36.17</v>
      </c>
      <c r="F44" t="s">
        <v>32</v>
      </c>
      <c r="G44" t="s">
        <v>36</v>
      </c>
      <c r="H44">
        <v>0</v>
      </c>
      <c r="I44" t="s">
        <v>37</v>
      </c>
      <c r="J44">
        <v>434.04</v>
      </c>
      <c r="K44" t="s">
        <v>43</v>
      </c>
      <c r="L44" t="s">
        <v>50</v>
      </c>
      <c r="M44">
        <v>0</v>
      </c>
      <c r="N44" t="s">
        <v>93</v>
      </c>
      <c r="O44" t="s">
        <v>1593</v>
      </c>
      <c r="P44">
        <v>34.85</v>
      </c>
      <c r="Q44" s="1">
        <v>45130</v>
      </c>
      <c r="R44" s="1">
        <v>45133</v>
      </c>
      <c r="S44" t="s">
        <v>2923</v>
      </c>
    </row>
    <row r="45" spans="1:19" x14ac:dyDescent="0.3">
      <c r="A45" s="1">
        <v>45066</v>
      </c>
      <c r="B45" t="s">
        <v>22</v>
      </c>
      <c r="C45" t="s">
        <v>30</v>
      </c>
      <c r="D45">
        <v>4</v>
      </c>
      <c r="E45">
        <v>459.31</v>
      </c>
      <c r="F45" t="s">
        <v>34</v>
      </c>
      <c r="G45" t="s">
        <v>35</v>
      </c>
      <c r="H45">
        <v>0.15</v>
      </c>
      <c r="I45" t="s">
        <v>40</v>
      </c>
      <c r="J45">
        <v>1561.654</v>
      </c>
      <c r="K45" t="s">
        <v>44</v>
      </c>
      <c r="L45" t="s">
        <v>50</v>
      </c>
      <c r="M45">
        <v>1</v>
      </c>
      <c r="N45" t="s">
        <v>94</v>
      </c>
      <c r="O45" t="s">
        <v>1594</v>
      </c>
      <c r="P45">
        <v>27.39</v>
      </c>
      <c r="Q45" s="1">
        <v>45066</v>
      </c>
      <c r="R45" s="1">
        <v>45073</v>
      </c>
      <c r="S45" t="s">
        <v>2925</v>
      </c>
    </row>
    <row r="46" spans="1:19" x14ac:dyDescent="0.3">
      <c r="A46" s="1">
        <v>45107</v>
      </c>
      <c r="B46" t="s">
        <v>20</v>
      </c>
      <c r="C46" t="s">
        <v>24</v>
      </c>
      <c r="D46">
        <v>2</v>
      </c>
      <c r="E46">
        <v>416.06</v>
      </c>
      <c r="F46" t="s">
        <v>34</v>
      </c>
      <c r="G46" t="s">
        <v>36</v>
      </c>
      <c r="H46">
        <v>0.05</v>
      </c>
      <c r="I46" t="s">
        <v>37</v>
      </c>
      <c r="J46">
        <v>790.51400000000001</v>
      </c>
      <c r="K46" t="s">
        <v>46</v>
      </c>
      <c r="L46" t="s">
        <v>49</v>
      </c>
      <c r="M46">
        <v>0</v>
      </c>
      <c r="N46" t="s">
        <v>95</v>
      </c>
      <c r="O46" t="s">
        <v>1595</v>
      </c>
      <c r="P46">
        <v>11.62</v>
      </c>
      <c r="Q46" s="1">
        <v>45107</v>
      </c>
      <c r="R46" s="1">
        <v>45111</v>
      </c>
      <c r="S46" t="s">
        <v>2923</v>
      </c>
    </row>
    <row r="47" spans="1:19" x14ac:dyDescent="0.3">
      <c r="A47" s="1">
        <v>45447</v>
      </c>
      <c r="B47" t="s">
        <v>20</v>
      </c>
      <c r="C47" t="s">
        <v>29</v>
      </c>
      <c r="D47">
        <v>16</v>
      </c>
      <c r="E47">
        <v>302.58</v>
      </c>
      <c r="F47" t="s">
        <v>34</v>
      </c>
      <c r="G47" t="s">
        <v>36</v>
      </c>
      <c r="H47">
        <v>0</v>
      </c>
      <c r="I47" t="s">
        <v>38</v>
      </c>
      <c r="J47">
        <v>4841.28</v>
      </c>
      <c r="K47" t="s">
        <v>43</v>
      </c>
      <c r="L47" t="s">
        <v>50</v>
      </c>
      <c r="M47">
        <v>1</v>
      </c>
      <c r="N47" t="s">
        <v>96</v>
      </c>
      <c r="O47" t="s">
        <v>1596</v>
      </c>
      <c r="P47">
        <v>20.76</v>
      </c>
      <c r="Q47" s="1">
        <v>45447</v>
      </c>
      <c r="R47" s="1">
        <v>45457</v>
      </c>
      <c r="S47" t="s">
        <v>2923</v>
      </c>
    </row>
    <row r="48" spans="1:19" x14ac:dyDescent="0.3">
      <c r="A48" s="1">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1">
        <v>45691</v>
      </c>
      <c r="R48" s="1">
        <v>45693</v>
      </c>
      <c r="S48" t="s">
        <v>2926</v>
      </c>
    </row>
    <row r="49" spans="1:19" x14ac:dyDescent="0.3">
      <c r="A49" s="1">
        <v>45300</v>
      </c>
      <c r="B49" t="s">
        <v>19</v>
      </c>
      <c r="C49" t="s">
        <v>29</v>
      </c>
      <c r="D49">
        <v>8</v>
      </c>
      <c r="E49">
        <v>582.52</v>
      </c>
      <c r="F49" t="s">
        <v>34</v>
      </c>
      <c r="G49" t="s">
        <v>36</v>
      </c>
      <c r="H49">
        <v>0.15</v>
      </c>
      <c r="I49" t="s">
        <v>39</v>
      </c>
      <c r="J49">
        <v>3961.136</v>
      </c>
      <c r="K49" t="s">
        <v>44</v>
      </c>
      <c r="L49" t="s">
        <v>50</v>
      </c>
      <c r="M49">
        <v>0</v>
      </c>
      <c r="N49" t="s">
        <v>98</v>
      </c>
      <c r="O49" t="s">
        <v>1598</v>
      </c>
      <c r="P49">
        <v>6.47</v>
      </c>
      <c r="Q49" s="1">
        <v>45300</v>
      </c>
      <c r="R49" s="1">
        <v>45304</v>
      </c>
      <c r="S49" t="s">
        <v>2922</v>
      </c>
    </row>
    <row r="50" spans="1:19" x14ac:dyDescent="0.3">
      <c r="A50" s="1">
        <v>45365</v>
      </c>
      <c r="B50" t="s">
        <v>21</v>
      </c>
      <c r="C50" t="s">
        <v>26</v>
      </c>
      <c r="D50">
        <v>5</v>
      </c>
      <c r="E50">
        <v>165.15</v>
      </c>
      <c r="F50" t="s">
        <v>32</v>
      </c>
      <c r="G50" t="s">
        <v>36</v>
      </c>
      <c r="H50">
        <v>0.1</v>
      </c>
      <c r="I50" t="s">
        <v>37</v>
      </c>
      <c r="J50">
        <v>743.17500000000007</v>
      </c>
      <c r="K50" t="s">
        <v>44</v>
      </c>
      <c r="L50" t="s">
        <v>2927</v>
      </c>
      <c r="M50">
        <v>0</v>
      </c>
      <c r="N50" t="s">
        <v>99</v>
      </c>
      <c r="O50" t="s">
        <v>1599</v>
      </c>
      <c r="P50">
        <v>20.57</v>
      </c>
      <c r="Q50" s="1">
        <v>45365</v>
      </c>
      <c r="R50" s="1">
        <v>45367</v>
      </c>
      <c r="S50" t="s">
        <v>2924</v>
      </c>
    </row>
    <row r="51" spans="1:19" x14ac:dyDescent="0.3">
      <c r="A51" s="1">
        <v>45541</v>
      </c>
      <c r="B51" t="s">
        <v>23</v>
      </c>
      <c r="C51" t="s">
        <v>28</v>
      </c>
      <c r="D51">
        <v>14</v>
      </c>
      <c r="E51">
        <v>242.82</v>
      </c>
      <c r="F51" t="s">
        <v>34</v>
      </c>
      <c r="G51" t="s">
        <v>35</v>
      </c>
      <c r="H51">
        <v>0.15</v>
      </c>
      <c r="I51" t="s">
        <v>38</v>
      </c>
      <c r="J51">
        <v>2889.558</v>
      </c>
      <c r="K51" t="s">
        <v>47</v>
      </c>
      <c r="L51" t="s">
        <v>50</v>
      </c>
      <c r="M51">
        <v>1</v>
      </c>
      <c r="N51" t="s">
        <v>100</v>
      </c>
      <c r="O51" t="s">
        <v>1600</v>
      </c>
      <c r="P51">
        <v>20.71</v>
      </c>
      <c r="Q51" s="1">
        <v>45541</v>
      </c>
      <c r="R51" s="1">
        <v>45548</v>
      </c>
      <c r="S51" t="s">
        <v>2926</v>
      </c>
    </row>
    <row r="52" spans="1:19" x14ac:dyDescent="0.3">
      <c r="A52" s="1">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1">
        <v>45002</v>
      </c>
      <c r="R52" s="1">
        <v>45005</v>
      </c>
      <c r="S52" t="s">
        <v>2922</v>
      </c>
    </row>
    <row r="53" spans="1:19" x14ac:dyDescent="0.3">
      <c r="A53" s="1">
        <v>45674</v>
      </c>
      <c r="B53" t="s">
        <v>23</v>
      </c>
      <c r="C53" t="s">
        <v>27</v>
      </c>
      <c r="D53">
        <v>2</v>
      </c>
      <c r="E53">
        <v>251.69</v>
      </c>
      <c r="F53" t="s">
        <v>33</v>
      </c>
      <c r="G53" t="s">
        <v>35</v>
      </c>
      <c r="H53">
        <v>0</v>
      </c>
      <c r="I53" t="s">
        <v>38</v>
      </c>
      <c r="J53">
        <v>503.38</v>
      </c>
      <c r="K53" t="s">
        <v>46</v>
      </c>
      <c r="L53" t="s">
        <v>48</v>
      </c>
      <c r="M53">
        <v>0</v>
      </c>
      <c r="N53" t="s">
        <v>102</v>
      </c>
      <c r="O53" t="s">
        <v>1602</v>
      </c>
      <c r="P53">
        <v>42.49</v>
      </c>
      <c r="Q53" s="1">
        <v>45674</v>
      </c>
      <c r="R53" s="1">
        <v>45681</v>
      </c>
      <c r="S53" t="s">
        <v>2926</v>
      </c>
    </row>
    <row r="54" spans="1:19" x14ac:dyDescent="0.3">
      <c r="A54" s="1">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1">
        <v>45547</v>
      </c>
      <c r="R54" s="1">
        <v>45553</v>
      </c>
      <c r="S54" t="s">
        <v>2923</v>
      </c>
    </row>
    <row r="55" spans="1:19" x14ac:dyDescent="0.3">
      <c r="A55" s="1">
        <v>45296</v>
      </c>
      <c r="B55" t="s">
        <v>20</v>
      </c>
      <c r="C55" t="s">
        <v>28</v>
      </c>
      <c r="D55">
        <v>2</v>
      </c>
      <c r="E55">
        <v>371.3</v>
      </c>
      <c r="F55" t="s">
        <v>31</v>
      </c>
      <c r="G55" t="s">
        <v>35</v>
      </c>
      <c r="H55">
        <v>0.05</v>
      </c>
      <c r="I55" t="s">
        <v>42</v>
      </c>
      <c r="J55">
        <v>705.47</v>
      </c>
      <c r="K55" t="s">
        <v>45</v>
      </c>
      <c r="L55" t="s">
        <v>49</v>
      </c>
      <c r="M55">
        <v>0</v>
      </c>
      <c r="N55" t="s">
        <v>104</v>
      </c>
      <c r="O55" t="s">
        <v>1604</v>
      </c>
      <c r="P55">
        <v>36.51</v>
      </c>
      <c r="Q55" s="1">
        <v>45296</v>
      </c>
      <c r="R55" s="1">
        <v>45306</v>
      </c>
      <c r="S55" t="s">
        <v>2923</v>
      </c>
    </row>
    <row r="56" spans="1:19" x14ac:dyDescent="0.3">
      <c r="A56" s="1">
        <v>45401</v>
      </c>
      <c r="B56" t="s">
        <v>23</v>
      </c>
      <c r="C56" t="s">
        <v>29</v>
      </c>
      <c r="D56">
        <v>11</v>
      </c>
      <c r="E56">
        <v>288.24</v>
      </c>
      <c r="F56" t="s">
        <v>32</v>
      </c>
      <c r="G56" t="s">
        <v>35</v>
      </c>
      <c r="H56">
        <v>0.15</v>
      </c>
      <c r="I56" t="s">
        <v>41</v>
      </c>
      <c r="J56">
        <v>2695.0439999999999</v>
      </c>
      <c r="K56" t="s">
        <v>43</v>
      </c>
      <c r="L56" t="s">
        <v>2927</v>
      </c>
      <c r="M56">
        <v>0</v>
      </c>
      <c r="N56" t="s">
        <v>105</v>
      </c>
      <c r="O56" t="s">
        <v>1605</v>
      </c>
      <c r="P56">
        <v>37.39</v>
      </c>
      <c r="Q56" s="1">
        <v>45401</v>
      </c>
      <c r="R56" s="1">
        <v>45407</v>
      </c>
      <c r="S56" t="s">
        <v>2926</v>
      </c>
    </row>
    <row r="57" spans="1:19" x14ac:dyDescent="0.3">
      <c r="A57" s="1">
        <v>45819</v>
      </c>
      <c r="B57" t="s">
        <v>22</v>
      </c>
      <c r="C57" t="s">
        <v>29</v>
      </c>
      <c r="D57">
        <v>11</v>
      </c>
      <c r="E57">
        <v>232.75</v>
      </c>
      <c r="F57" t="s">
        <v>34</v>
      </c>
      <c r="G57" t="s">
        <v>35</v>
      </c>
      <c r="H57">
        <v>0.05</v>
      </c>
      <c r="I57" t="s">
        <v>37</v>
      </c>
      <c r="J57">
        <v>2432.2375000000002</v>
      </c>
      <c r="K57" t="s">
        <v>45</v>
      </c>
      <c r="L57" t="s">
        <v>49</v>
      </c>
      <c r="M57">
        <v>0</v>
      </c>
      <c r="N57" t="s">
        <v>106</v>
      </c>
      <c r="O57" t="s">
        <v>1606</v>
      </c>
      <c r="P57">
        <v>36.33</v>
      </c>
      <c r="Q57" s="1">
        <v>45819</v>
      </c>
      <c r="R57" s="1">
        <v>45829</v>
      </c>
      <c r="S57" t="s">
        <v>2925</v>
      </c>
    </row>
    <row r="58" spans="1:19" x14ac:dyDescent="0.3">
      <c r="A58" s="1">
        <v>45722</v>
      </c>
      <c r="B58" t="s">
        <v>19</v>
      </c>
      <c r="C58" t="s">
        <v>25</v>
      </c>
      <c r="D58">
        <v>17</v>
      </c>
      <c r="E58">
        <v>146.28</v>
      </c>
      <c r="F58" t="s">
        <v>31</v>
      </c>
      <c r="G58" t="s">
        <v>36</v>
      </c>
      <c r="H58">
        <v>0.15</v>
      </c>
      <c r="I58" t="s">
        <v>40</v>
      </c>
      <c r="J58">
        <v>2113.7460000000001</v>
      </c>
      <c r="K58" t="s">
        <v>47</v>
      </c>
      <c r="L58" t="s">
        <v>49</v>
      </c>
      <c r="M58">
        <v>0</v>
      </c>
      <c r="N58" t="s">
        <v>107</v>
      </c>
      <c r="O58" t="s">
        <v>1607</v>
      </c>
      <c r="P58">
        <v>7.84</v>
      </c>
      <c r="Q58" s="1">
        <v>45722</v>
      </c>
      <c r="R58" s="1">
        <v>45731</v>
      </c>
      <c r="S58" t="s">
        <v>2922</v>
      </c>
    </row>
    <row r="59" spans="1:19" x14ac:dyDescent="0.3">
      <c r="A59" s="1">
        <v>45070</v>
      </c>
      <c r="B59" t="s">
        <v>19</v>
      </c>
      <c r="C59" t="s">
        <v>27</v>
      </c>
      <c r="D59">
        <v>5</v>
      </c>
      <c r="E59">
        <v>100.38</v>
      </c>
      <c r="F59" t="s">
        <v>33</v>
      </c>
      <c r="G59" t="s">
        <v>36</v>
      </c>
      <c r="H59">
        <v>0.1</v>
      </c>
      <c r="I59" t="s">
        <v>37</v>
      </c>
      <c r="J59">
        <v>451.71</v>
      </c>
      <c r="K59" t="s">
        <v>44</v>
      </c>
      <c r="L59" t="s">
        <v>50</v>
      </c>
      <c r="M59">
        <v>1</v>
      </c>
      <c r="N59" t="s">
        <v>108</v>
      </c>
      <c r="O59" t="s">
        <v>1608</v>
      </c>
      <c r="P59">
        <v>18.350000000000001</v>
      </c>
      <c r="Q59" s="1">
        <v>45070</v>
      </c>
      <c r="R59" s="1">
        <v>45072</v>
      </c>
      <c r="S59" t="s">
        <v>2922</v>
      </c>
    </row>
    <row r="60" spans="1:19" x14ac:dyDescent="0.3">
      <c r="A60" s="1">
        <v>44953</v>
      </c>
      <c r="B60" t="s">
        <v>20</v>
      </c>
      <c r="C60" t="s">
        <v>25</v>
      </c>
      <c r="D60">
        <v>11</v>
      </c>
      <c r="E60">
        <v>375.48</v>
      </c>
      <c r="F60" t="s">
        <v>31</v>
      </c>
      <c r="G60" t="s">
        <v>36</v>
      </c>
      <c r="H60">
        <v>0.05</v>
      </c>
      <c r="I60" t="s">
        <v>42</v>
      </c>
      <c r="J60">
        <v>3923.766000000001</v>
      </c>
      <c r="K60" t="s">
        <v>46</v>
      </c>
      <c r="L60" t="s">
        <v>50</v>
      </c>
      <c r="M60">
        <v>0</v>
      </c>
      <c r="N60" t="s">
        <v>109</v>
      </c>
      <c r="O60" t="s">
        <v>1609</v>
      </c>
      <c r="P60">
        <v>15.95</v>
      </c>
      <c r="Q60" s="1">
        <v>44953</v>
      </c>
      <c r="R60" s="1">
        <v>44960</v>
      </c>
      <c r="S60" t="s">
        <v>2923</v>
      </c>
    </row>
    <row r="61" spans="1:19" x14ac:dyDescent="0.3">
      <c r="A61" s="1">
        <v>45372</v>
      </c>
      <c r="B61" t="s">
        <v>20</v>
      </c>
      <c r="C61" t="s">
        <v>24</v>
      </c>
      <c r="D61">
        <v>18</v>
      </c>
      <c r="E61">
        <v>316.89</v>
      </c>
      <c r="F61" t="s">
        <v>31</v>
      </c>
      <c r="G61" t="s">
        <v>35</v>
      </c>
      <c r="H61">
        <v>0.05</v>
      </c>
      <c r="I61" t="s">
        <v>42</v>
      </c>
      <c r="J61">
        <v>5418.8190000000004</v>
      </c>
      <c r="K61" t="s">
        <v>47</v>
      </c>
      <c r="L61" t="s">
        <v>48</v>
      </c>
      <c r="M61">
        <v>0</v>
      </c>
      <c r="N61" t="s">
        <v>110</v>
      </c>
      <c r="O61" t="s">
        <v>1610</v>
      </c>
      <c r="P61">
        <v>15.69</v>
      </c>
      <c r="Q61" s="1">
        <v>45372</v>
      </c>
      <c r="R61" s="1">
        <v>45378</v>
      </c>
      <c r="S61" t="s">
        <v>2923</v>
      </c>
    </row>
    <row r="62" spans="1:19" x14ac:dyDescent="0.3">
      <c r="A62" s="1">
        <v>45682</v>
      </c>
      <c r="B62" t="s">
        <v>23</v>
      </c>
      <c r="C62" t="s">
        <v>24</v>
      </c>
      <c r="D62">
        <v>20</v>
      </c>
      <c r="E62">
        <v>295.06</v>
      </c>
      <c r="F62" t="s">
        <v>34</v>
      </c>
      <c r="G62" t="s">
        <v>36</v>
      </c>
      <c r="H62">
        <v>0.15</v>
      </c>
      <c r="I62" t="s">
        <v>39</v>
      </c>
      <c r="J62">
        <v>5016.0200000000004</v>
      </c>
      <c r="K62" t="s">
        <v>43</v>
      </c>
      <c r="L62" t="s">
        <v>49</v>
      </c>
      <c r="M62">
        <v>1</v>
      </c>
      <c r="N62" t="s">
        <v>111</v>
      </c>
      <c r="O62" t="s">
        <v>1611</v>
      </c>
      <c r="P62">
        <v>13.66</v>
      </c>
      <c r="Q62" s="1">
        <v>45682</v>
      </c>
      <c r="R62" s="1">
        <v>45688</v>
      </c>
      <c r="S62" t="s">
        <v>2926</v>
      </c>
    </row>
    <row r="63" spans="1:19" x14ac:dyDescent="0.3">
      <c r="A63" s="1">
        <v>45089</v>
      </c>
      <c r="B63" t="s">
        <v>22</v>
      </c>
      <c r="C63" t="s">
        <v>25</v>
      </c>
      <c r="D63">
        <v>8</v>
      </c>
      <c r="E63">
        <v>301.68</v>
      </c>
      <c r="F63" t="s">
        <v>34</v>
      </c>
      <c r="G63" t="s">
        <v>36</v>
      </c>
      <c r="H63">
        <v>0</v>
      </c>
      <c r="I63" t="s">
        <v>37</v>
      </c>
      <c r="J63">
        <v>2413.44</v>
      </c>
      <c r="K63" t="s">
        <v>47</v>
      </c>
      <c r="L63" t="s">
        <v>49</v>
      </c>
      <c r="M63">
        <v>0</v>
      </c>
      <c r="N63" t="s">
        <v>112</v>
      </c>
      <c r="O63" t="s">
        <v>1612</v>
      </c>
      <c r="P63">
        <v>36.54</v>
      </c>
      <c r="Q63" s="1">
        <v>45089</v>
      </c>
      <c r="R63" s="1">
        <v>45098</v>
      </c>
      <c r="S63" t="s">
        <v>2925</v>
      </c>
    </row>
    <row r="64" spans="1:19" x14ac:dyDescent="0.3">
      <c r="A64" s="1">
        <v>45738</v>
      </c>
      <c r="B64" t="s">
        <v>22</v>
      </c>
      <c r="C64" t="s">
        <v>27</v>
      </c>
      <c r="D64">
        <v>3</v>
      </c>
      <c r="E64">
        <v>475.39</v>
      </c>
      <c r="F64" t="s">
        <v>31</v>
      </c>
      <c r="G64" t="s">
        <v>36</v>
      </c>
      <c r="H64">
        <v>0.1</v>
      </c>
      <c r="I64" t="s">
        <v>38</v>
      </c>
      <c r="J64">
        <v>1283.5530000000001</v>
      </c>
      <c r="K64" t="s">
        <v>44</v>
      </c>
      <c r="L64" t="s">
        <v>2927</v>
      </c>
      <c r="M64">
        <v>0</v>
      </c>
      <c r="N64" t="s">
        <v>113</v>
      </c>
      <c r="O64" t="s">
        <v>1613</v>
      </c>
      <c r="P64">
        <v>15.62</v>
      </c>
      <c r="Q64" s="1">
        <v>45738</v>
      </c>
      <c r="R64" s="1">
        <v>45742</v>
      </c>
      <c r="S64" t="s">
        <v>2925</v>
      </c>
    </row>
    <row r="65" spans="1:19" x14ac:dyDescent="0.3">
      <c r="A65" s="1">
        <v>45346</v>
      </c>
      <c r="B65" t="s">
        <v>22</v>
      </c>
      <c r="C65" t="s">
        <v>26</v>
      </c>
      <c r="D65">
        <v>16</v>
      </c>
      <c r="E65">
        <v>47.25</v>
      </c>
      <c r="F65" t="s">
        <v>34</v>
      </c>
      <c r="G65" t="s">
        <v>36</v>
      </c>
      <c r="H65">
        <v>0.15</v>
      </c>
      <c r="I65" t="s">
        <v>42</v>
      </c>
      <c r="J65">
        <v>642.6</v>
      </c>
      <c r="K65" t="s">
        <v>46</v>
      </c>
      <c r="L65" t="s">
        <v>48</v>
      </c>
      <c r="M65">
        <v>0</v>
      </c>
      <c r="N65" t="s">
        <v>114</v>
      </c>
      <c r="O65" t="s">
        <v>1614</v>
      </c>
      <c r="P65">
        <v>29.5</v>
      </c>
      <c r="Q65" s="1">
        <v>45346</v>
      </c>
      <c r="R65" s="1">
        <v>45349</v>
      </c>
      <c r="S65" t="s">
        <v>2925</v>
      </c>
    </row>
    <row r="66" spans="1:19" x14ac:dyDescent="0.3">
      <c r="A66" s="1">
        <v>45269</v>
      </c>
      <c r="B66" t="s">
        <v>20</v>
      </c>
      <c r="C66" t="s">
        <v>27</v>
      </c>
      <c r="D66">
        <v>15</v>
      </c>
      <c r="E66">
        <v>511.17</v>
      </c>
      <c r="F66" t="s">
        <v>31</v>
      </c>
      <c r="G66" t="s">
        <v>35</v>
      </c>
      <c r="H66">
        <v>0</v>
      </c>
      <c r="I66" t="s">
        <v>39</v>
      </c>
      <c r="J66">
        <v>7667.55</v>
      </c>
      <c r="K66" t="s">
        <v>43</v>
      </c>
      <c r="L66" t="s">
        <v>48</v>
      </c>
      <c r="M66">
        <v>0</v>
      </c>
      <c r="N66" t="s">
        <v>115</v>
      </c>
      <c r="O66" t="s">
        <v>1615</v>
      </c>
      <c r="P66">
        <v>21.77</v>
      </c>
      <c r="Q66" s="1">
        <v>45269</v>
      </c>
      <c r="R66" s="1">
        <v>45272</v>
      </c>
      <c r="S66" t="s">
        <v>2923</v>
      </c>
    </row>
    <row r="67" spans="1:19" x14ac:dyDescent="0.3">
      <c r="A67" s="1">
        <v>45200</v>
      </c>
      <c r="B67" t="s">
        <v>22</v>
      </c>
      <c r="C67" t="s">
        <v>28</v>
      </c>
      <c r="D67">
        <v>3</v>
      </c>
      <c r="E67">
        <v>66.58</v>
      </c>
      <c r="F67" t="s">
        <v>31</v>
      </c>
      <c r="G67" t="s">
        <v>36</v>
      </c>
      <c r="H67">
        <v>0.1</v>
      </c>
      <c r="I67" t="s">
        <v>39</v>
      </c>
      <c r="J67">
        <v>179.76599999999999</v>
      </c>
      <c r="K67" t="s">
        <v>46</v>
      </c>
      <c r="L67" t="s">
        <v>48</v>
      </c>
      <c r="M67">
        <v>0</v>
      </c>
      <c r="N67" t="s">
        <v>116</v>
      </c>
      <c r="O67" t="s">
        <v>1616</v>
      </c>
      <c r="P67">
        <v>22.43</v>
      </c>
      <c r="Q67" s="1">
        <v>45200</v>
      </c>
      <c r="R67" s="1">
        <v>45204</v>
      </c>
      <c r="S67" t="s">
        <v>2925</v>
      </c>
    </row>
    <row r="68" spans="1:19" x14ac:dyDescent="0.3">
      <c r="A68" s="1">
        <v>45138</v>
      </c>
      <c r="B68" t="s">
        <v>23</v>
      </c>
      <c r="C68" t="s">
        <v>29</v>
      </c>
      <c r="D68">
        <v>5</v>
      </c>
      <c r="E68">
        <v>490.52</v>
      </c>
      <c r="F68" t="s">
        <v>34</v>
      </c>
      <c r="G68" t="s">
        <v>35</v>
      </c>
      <c r="H68">
        <v>0.05</v>
      </c>
      <c r="I68" t="s">
        <v>39</v>
      </c>
      <c r="J68">
        <v>2329.9699999999998</v>
      </c>
      <c r="K68" t="s">
        <v>43</v>
      </c>
      <c r="L68" t="s">
        <v>2927</v>
      </c>
      <c r="M68">
        <v>0</v>
      </c>
      <c r="N68" t="s">
        <v>117</v>
      </c>
      <c r="O68" t="s">
        <v>1617</v>
      </c>
      <c r="P68">
        <v>12.24</v>
      </c>
      <c r="Q68" s="1">
        <v>45138</v>
      </c>
      <c r="R68" s="1">
        <v>45145</v>
      </c>
      <c r="S68" t="s">
        <v>2926</v>
      </c>
    </row>
    <row r="69" spans="1:19" x14ac:dyDescent="0.3">
      <c r="A69" s="1">
        <v>45650</v>
      </c>
      <c r="B69" t="s">
        <v>20</v>
      </c>
      <c r="C69" t="s">
        <v>27</v>
      </c>
      <c r="D69">
        <v>8</v>
      </c>
      <c r="E69">
        <v>405.96</v>
      </c>
      <c r="F69" t="s">
        <v>32</v>
      </c>
      <c r="G69" t="s">
        <v>35</v>
      </c>
      <c r="H69">
        <v>0.05</v>
      </c>
      <c r="I69" t="s">
        <v>40</v>
      </c>
      <c r="J69">
        <v>3085.2959999999998</v>
      </c>
      <c r="K69" t="s">
        <v>45</v>
      </c>
      <c r="L69" t="s">
        <v>50</v>
      </c>
      <c r="M69">
        <v>0</v>
      </c>
      <c r="N69" t="s">
        <v>118</v>
      </c>
      <c r="O69" t="s">
        <v>1618</v>
      </c>
      <c r="P69">
        <v>41.27</v>
      </c>
      <c r="Q69" s="1">
        <v>45650</v>
      </c>
      <c r="R69" s="1">
        <v>45657</v>
      </c>
      <c r="S69" t="s">
        <v>2923</v>
      </c>
    </row>
    <row r="70" spans="1:19" x14ac:dyDescent="0.3">
      <c r="A70" s="1">
        <v>45611</v>
      </c>
      <c r="B70" t="s">
        <v>21</v>
      </c>
      <c r="C70" t="s">
        <v>25</v>
      </c>
      <c r="D70">
        <v>1</v>
      </c>
      <c r="E70">
        <v>159.41</v>
      </c>
      <c r="F70" t="s">
        <v>31</v>
      </c>
      <c r="G70" t="s">
        <v>36</v>
      </c>
      <c r="H70">
        <v>0.1</v>
      </c>
      <c r="I70" t="s">
        <v>42</v>
      </c>
      <c r="J70">
        <v>143.46899999999999</v>
      </c>
      <c r="K70" t="s">
        <v>45</v>
      </c>
      <c r="L70" t="s">
        <v>48</v>
      </c>
      <c r="M70">
        <v>0</v>
      </c>
      <c r="N70" t="s">
        <v>119</v>
      </c>
      <c r="O70" t="s">
        <v>1619</v>
      </c>
      <c r="P70">
        <v>35.14</v>
      </c>
      <c r="Q70" s="1">
        <v>45611</v>
      </c>
      <c r="R70" s="1">
        <v>45615</v>
      </c>
      <c r="S70" t="s">
        <v>2924</v>
      </c>
    </row>
    <row r="71" spans="1:19" x14ac:dyDescent="0.3">
      <c r="A71" s="1">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1">
        <v>45729</v>
      </c>
      <c r="R71" s="1">
        <v>45738</v>
      </c>
      <c r="S71" t="s">
        <v>2926</v>
      </c>
    </row>
    <row r="72" spans="1:19" x14ac:dyDescent="0.3">
      <c r="A72" s="1">
        <v>45354</v>
      </c>
      <c r="B72" t="s">
        <v>19</v>
      </c>
      <c r="C72" t="s">
        <v>29</v>
      </c>
      <c r="D72">
        <v>15</v>
      </c>
      <c r="E72">
        <v>328.36</v>
      </c>
      <c r="F72" t="s">
        <v>34</v>
      </c>
      <c r="G72" t="s">
        <v>36</v>
      </c>
      <c r="H72">
        <v>0.15</v>
      </c>
      <c r="I72" t="s">
        <v>38</v>
      </c>
      <c r="J72">
        <v>4186.59</v>
      </c>
      <c r="K72" t="s">
        <v>44</v>
      </c>
      <c r="L72" t="s">
        <v>50</v>
      </c>
      <c r="M72">
        <v>0</v>
      </c>
      <c r="N72" t="s">
        <v>121</v>
      </c>
      <c r="O72" t="s">
        <v>1621</v>
      </c>
      <c r="P72">
        <v>15.76</v>
      </c>
      <c r="Q72" s="1">
        <v>45354</v>
      </c>
      <c r="R72" s="1">
        <v>45363</v>
      </c>
      <c r="S72" t="s">
        <v>2922</v>
      </c>
    </row>
    <row r="73" spans="1:19" x14ac:dyDescent="0.3">
      <c r="A73" s="1">
        <v>44968</v>
      </c>
      <c r="B73" t="s">
        <v>22</v>
      </c>
      <c r="C73" t="s">
        <v>29</v>
      </c>
      <c r="D73">
        <v>20</v>
      </c>
      <c r="E73">
        <v>548.01</v>
      </c>
      <c r="F73" t="s">
        <v>32</v>
      </c>
      <c r="G73" t="s">
        <v>35</v>
      </c>
      <c r="H73">
        <v>0.1</v>
      </c>
      <c r="I73" t="s">
        <v>37</v>
      </c>
      <c r="J73">
        <v>9864.18</v>
      </c>
      <c r="K73" t="s">
        <v>45</v>
      </c>
      <c r="L73" t="s">
        <v>50</v>
      </c>
      <c r="M73">
        <v>1</v>
      </c>
      <c r="N73" t="s">
        <v>122</v>
      </c>
      <c r="O73" t="s">
        <v>1622</v>
      </c>
      <c r="P73">
        <v>5.89</v>
      </c>
      <c r="Q73" s="1">
        <v>44968</v>
      </c>
      <c r="R73" s="1">
        <v>44971</v>
      </c>
      <c r="S73" t="s">
        <v>2925</v>
      </c>
    </row>
    <row r="74" spans="1:19" x14ac:dyDescent="0.3">
      <c r="A74" s="1">
        <v>45225</v>
      </c>
      <c r="B74" t="s">
        <v>20</v>
      </c>
      <c r="C74" t="s">
        <v>26</v>
      </c>
      <c r="D74">
        <v>13</v>
      </c>
      <c r="E74">
        <v>484.45</v>
      </c>
      <c r="F74" t="s">
        <v>31</v>
      </c>
      <c r="G74" t="s">
        <v>35</v>
      </c>
      <c r="H74">
        <v>0.05</v>
      </c>
      <c r="I74" t="s">
        <v>40</v>
      </c>
      <c r="J74">
        <v>5982.9575000000004</v>
      </c>
      <c r="K74" t="s">
        <v>44</v>
      </c>
      <c r="L74" t="s">
        <v>50</v>
      </c>
      <c r="M74">
        <v>1</v>
      </c>
      <c r="N74" t="s">
        <v>123</v>
      </c>
      <c r="O74" t="s">
        <v>1623</v>
      </c>
      <c r="P74">
        <v>6.57</v>
      </c>
      <c r="Q74" s="1">
        <v>45225</v>
      </c>
      <c r="R74" s="1">
        <v>45235</v>
      </c>
      <c r="S74" t="s">
        <v>2923</v>
      </c>
    </row>
    <row r="75" spans="1:19" x14ac:dyDescent="0.3">
      <c r="A75" s="1">
        <v>45220</v>
      </c>
      <c r="B75" t="s">
        <v>20</v>
      </c>
      <c r="C75" t="s">
        <v>28</v>
      </c>
      <c r="D75">
        <v>13</v>
      </c>
      <c r="E75">
        <v>195.84</v>
      </c>
      <c r="F75" t="s">
        <v>32</v>
      </c>
      <c r="G75" t="s">
        <v>35</v>
      </c>
      <c r="H75">
        <v>0.05</v>
      </c>
      <c r="I75" t="s">
        <v>38</v>
      </c>
      <c r="J75">
        <v>2418.6239999999998</v>
      </c>
      <c r="K75" t="s">
        <v>45</v>
      </c>
      <c r="L75" t="s">
        <v>2927</v>
      </c>
      <c r="M75">
        <v>0</v>
      </c>
      <c r="N75" t="s">
        <v>124</v>
      </c>
      <c r="O75" t="s">
        <v>1624</v>
      </c>
      <c r="P75">
        <v>33.520000000000003</v>
      </c>
      <c r="Q75" s="1">
        <v>45220</v>
      </c>
      <c r="R75" s="1">
        <v>45227</v>
      </c>
      <c r="S75" t="s">
        <v>2923</v>
      </c>
    </row>
    <row r="76" spans="1:19" x14ac:dyDescent="0.3">
      <c r="A76" s="1">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1">
        <v>45305</v>
      </c>
      <c r="R76" s="1">
        <v>45311</v>
      </c>
      <c r="S76" t="s">
        <v>2925</v>
      </c>
    </row>
    <row r="77" spans="1:19" x14ac:dyDescent="0.3">
      <c r="A77" s="1">
        <v>45134</v>
      </c>
      <c r="B77" t="s">
        <v>22</v>
      </c>
      <c r="C77" t="s">
        <v>26</v>
      </c>
      <c r="D77">
        <v>10</v>
      </c>
      <c r="E77">
        <v>553.91</v>
      </c>
      <c r="F77" t="s">
        <v>34</v>
      </c>
      <c r="G77" t="s">
        <v>35</v>
      </c>
      <c r="H77">
        <v>0.1</v>
      </c>
      <c r="I77" t="s">
        <v>37</v>
      </c>
      <c r="J77">
        <v>4985.1899999999996</v>
      </c>
      <c r="K77" t="s">
        <v>43</v>
      </c>
      <c r="L77" t="s">
        <v>2927</v>
      </c>
      <c r="M77">
        <v>0</v>
      </c>
      <c r="N77" t="s">
        <v>126</v>
      </c>
      <c r="O77" t="s">
        <v>1626</v>
      </c>
      <c r="P77">
        <v>31.3</v>
      </c>
      <c r="Q77" s="1">
        <v>45134</v>
      </c>
      <c r="R77" s="1">
        <v>45138</v>
      </c>
      <c r="S77" t="s">
        <v>2925</v>
      </c>
    </row>
    <row r="78" spans="1:19" x14ac:dyDescent="0.3">
      <c r="A78" s="1">
        <v>45588</v>
      </c>
      <c r="B78" t="s">
        <v>20</v>
      </c>
      <c r="C78" t="s">
        <v>25</v>
      </c>
      <c r="D78">
        <v>14</v>
      </c>
      <c r="E78">
        <v>445.52</v>
      </c>
      <c r="F78" t="s">
        <v>31</v>
      </c>
      <c r="G78" t="s">
        <v>36</v>
      </c>
      <c r="H78">
        <v>0.1</v>
      </c>
      <c r="I78" t="s">
        <v>42</v>
      </c>
      <c r="J78">
        <v>5613.5519999999997</v>
      </c>
      <c r="K78" t="s">
        <v>43</v>
      </c>
      <c r="L78" t="s">
        <v>49</v>
      </c>
      <c r="M78">
        <v>0</v>
      </c>
      <c r="N78" t="s">
        <v>127</v>
      </c>
      <c r="O78" t="s">
        <v>1627</v>
      </c>
      <c r="P78">
        <v>14.41</v>
      </c>
      <c r="Q78" s="1">
        <v>45588</v>
      </c>
      <c r="R78" s="1">
        <v>45590</v>
      </c>
      <c r="S78" t="s">
        <v>2923</v>
      </c>
    </row>
    <row r="79" spans="1:19" x14ac:dyDescent="0.3">
      <c r="A79" s="1">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1">
        <v>45195</v>
      </c>
      <c r="R79" s="1">
        <v>45200</v>
      </c>
      <c r="S79" t="s">
        <v>2923</v>
      </c>
    </row>
    <row r="80" spans="1:19" x14ac:dyDescent="0.3">
      <c r="A80" s="1">
        <v>45276</v>
      </c>
      <c r="B80" t="s">
        <v>19</v>
      </c>
      <c r="C80" t="s">
        <v>25</v>
      </c>
      <c r="D80">
        <v>13</v>
      </c>
      <c r="E80">
        <v>241.4</v>
      </c>
      <c r="F80" t="s">
        <v>34</v>
      </c>
      <c r="G80" t="s">
        <v>36</v>
      </c>
      <c r="H80">
        <v>0</v>
      </c>
      <c r="I80" t="s">
        <v>40</v>
      </c>
      <c r="J80">
        <v>3138.2</v>
      </c>
      <c r="K80" t="s">
        <v>44</v>
      </c>
      <c r="L80" t="s">
        <v>49</v>
      </c>
      <c r="M80">
        <v>0</v>
      </c>
      <c r="N80" t="s">
        <v>129</v>
      </c>
      <c r="O80" t="s">
        <v>1629</v>
      </c>
      <c r="P80">
        <v>49.05</v>
      </c>
      <c r="Q80" s="1">
        <v>45276</v>
      </c>
      <c r="R80" s="1">
        <v>45280</v>
      </c>
      <c r="S80" t="s">
        <v>2922</v>
      </c>
    </row>
    <row r="81" spans="1:19" x14ac:dyDescent="0.3">
      <c r="A81" s="1">
        <v>45293</v>
      </c>
      <c r="B81" t="s">
        <v>22</v>
      </c>
      <c r="C81" t="s">
        <v>30</v>
      </c>
      <c r="D81">
        <v>19</v>
      </c>
      <c r="E81">
        <v>351.93</v>
      </c>
      <c r="F81" t="s">
        <v>32</v>
      </c>
      <c r="G81" t="s">
        <v>35</v>
      </c>
      <c r="H81">
        <v>0</v>
      </c>
      <c r="I81" t="s">
        <v>38</v>
      </c>
      <c r="J81">
        <v>6686.67</v>
      </c>
      <c r="K81" t="s">
        <v>45</v>
      </c>
      <c r="L81" t="s">
        <v>2927</v>
      </c>
      <c r="M81">
        <v>0</v>
      </c>
      <c r="N81" t="s">
        <v>130</v>
      </c>
      <c r="O81" t="s">
        <v>1630</v>
      </c>
      <c r="P81">
        <v>39.979999999999997</v>
      </c>
      <c r="Q81" s="1">
        <v>45293</v>
      </c>
      <c r="R81" s="1">
        <v>45296</v>
      </c>
      <c r="S81" t="s">
        <v>2925</v>
      </c>
    </row>
    <row r="82" spans="1:19" x14ac:dyDescent="0.3">
      <c r="A82" s="1">
        <v>45338</v>
      </c>
      <c r="B82" t="s">
        <v>21</v>
      </c>
      <c r="C82" t="s">
        <v>25</v>
      </c>
      <c r="D82">
        <v>4</v>
      </c>
      <c r="E82">
        <v>83.75</v>
      </c>
      <c r="F82" t="s">
        <v>32</v>
      </c>
      <c r="G82" t="s">
        <v>36</v>
      </c>
      <c r="H82">
        <v>0.05</v>
      </c>
      <c r="I82" t="s">
        <v>38</v>
      </c>
      <c r="J82">
        <v>318.25</v>
      </c>
      <c r="K82" t="s">
        <v>46</v>
      </c>
      <c r="L82" t="s">
        <v>49</v>
      </c>
      <c r="M82">
        <v>1</v>
      </c>
      <c r="N82" t="s">
        <v>131</v>
      </c>
      <c r="O82" t="s">
        <v>1631</v>
      </c>
      <c r="P82">
        <v>38.82</v>
      </c>
      <c r="Q82" s="1">
        <v>45338</v>
      </c>
      <c r="R82" s="1">
        <v>45347</v>
      </c>
      <c r="S82" t="s">
        <v>2924</v>
      </c>
    </row>
    <row r="83" spans="1:19" x14ac:dyDescent="0.3">
      <c r="A83" s="1">
        <v>45415</v>
      </c>
      <c r="B83" t="s">
        <v>19</v>
      </c>
      <c r="C83" t="s">
        <v>28</v>
      </c>
      <c r="D83">
        <v>5</v>
      </c>
      <c r="E83">
        <v>416.95</v>
      </c>
      <c r="F83" t="s">
        <v>32</v>
      </c>
      <c r="G83" t="s">
        <v>35</v>
      </c>
      <c r="H83">
        <v>0.15</v>
      </c>
      <c r="I83" t="s">
        <v>39</v>
      </c>
      <c r="J83">
        <v>1772.0374999999999</v>
      </c>
      <c r="K83" t="s">
        <v>43</v>
      </c>
      <c r="L83" t="s">
        <v>2927</v>
      </c>
      <c r="M83">
        <v>1</v>
      </c>
      <c r="N83" t="s">
        <v>132</v>
      </c>
      <c r="O83" t="s">
        <v>1632</v>
      </c>
      <c r="P83">
        <v>24.03</v>
      </c>
      <c r="Q83" s="1">
        <v>45415</v>
      </c>
      <c r="R83" s="1">
        <v>45424</v>
      </c>
      <c r="S83" t="s">
        <v>2922</v>
      </c>
    </row>
    <row r="84" spans="1:19" x14ac:dyDescent="0.3">
      <c r="A84" s="1">
        <v>45073</v>
      </c>
      <c r="B84" t="s">
        <v>23</v>
      </c>
      <c r="C84" t="s">
        <v>28</v>
      </c>
      <c r="D84">
        <v>18</v>
      </c>
      <c r="E84">
        <v>142.43</v>
      </c>
      <c r="F84" t="s">
        <v>33</v>
      </c>
      <c r="G84" t="s">
        <v>36</v>
      </c>
      <c r="H84">
        <v>0.05</v>
      </c>
      <c r="I84" t="s">
        <v>42</v>
      </c>
      <c r="J84">
        <v>2435.5529999999999</v>
      </c>
      <c r="K84" t="s">
        <v>45</v>
      </c>
      <c r="L84" t="s">
        <v>49</v>
      </c>
      <c r="M84">
        <v>1</v>
      </c>
      <c r="N84" t="s">
        <v>133</v>
      </c>
      <c r="O84" t="s">
        <v>1633</v>
      </c>
      <c r="P84">
        <v>12.38</v>
      </c>
      <c r="Q84" s="1">
        <v>45073</v>
      </c>
      <c r="R84" s="1">
        <v>45079</v>
      </c>
      <c r="S84" t="s">
        <v>2926</v>
      </c>
    </row>
    <row r="85" spans="1:19" x14ac:dyDescent="0.3">
      <c r="A85" s="1">
        <v>44931</v>
      </c>
      <c r="B85" t="s">
        <v>19</v>
      </c>
      <c r="C85" t="s">
        <v>26</v>
      </c>
      <c r="D85">
        <v>12</v>
      </c>
      <c r="E85">
        <v>582.52</v>
      </c>
      <c r="F85" t="s">
        <v>32</v>
      </c>
      <c r="G85" t="s">
        <v>35</v>
      </c>
      <c r="H85">
        <v>0</v>
      </c>
      <c r="I85" t="s">
        <v>42</v>
      </c>
      <c r="J85">
        <v>6990.24</v>
      </c>
      <c r="K85" t="s">
        <v>45</v>
      </c>
      <c r="L85" t="s">
        <v>48</v>
      </c>
      <c r="M85">
        <v>0</v>
      </c>
      <c r="N85" t="s">
        <v>134</v>
      </c>
      <c r="O85" t="s">
        <v>1634</v>
      </c>
      <c r="P85">
        <v>41.16</v>
      </c>
      <c r="Q85" s="1">
        <v>44931</v>
      </c>
      <c r="R85" s="1">
        <v>44937</v>
      </c>
      <c r="S85" t="s">
        <v>2922</v>
      </c>
    </row>
    <row r="86" spans="1:19" x14ac:dyDescent="0.3">
      <c r="A86" s="1">
        <v>45798</v>
      </c>
      <c r="B86" t="s">
        <v>19</v>
      </c>
      <c r="C86" t="s">
        <v>27</v>
      </c>
      <c r="D86">
        <v>20</v>
      </c>
      <c r="E86">
        <v>129.56</v>
      </c>
      <c r="F86" t="s">
        <v>32</v>
      </c>
      <c r="G86" t="s">
        <v>36</v>
      </c>
      <c r="H86">
        <v>0.15</v>
      </c>
      <c r="I86" t="s">
        <v>41</v>
      </c>
      <c r="J86">
        <v>2202.52</v>
      </c>
      <c r="K86" t="s">
        <v>43</v>
      </c>
      <c r="L86" t="s">
        <v>50</v>
      </c>
      <c r="M86">
        <v>0</v>
      </c>
      <c r="N86" t="s">
        <v>135</v>
      </c>
      <c r="O86" t="s">
        <v>1635</v>
      </c>
      <c r="P86">
        <v>40.21</v>
      </c>
      <c r="Q86" s="1">
        <v>45798</v>
      </c>
      <c r="R86" s="1">
        <v>45800</v>
      </c>
      <c r="S86" t="s">
        <v>2922</v>
      </c>
    </row>
    <row r="87" spans="1:19" x14ac:dyDescent="0.3">
      <c r="A87" s="1">
        <v>45128</v>
      </c>
      <c r="B87" t="s">
        <v>22</v>
      </c>
      <c r="C87" t="s">
        <v>29</v>
      </c>
      <c r="D87">
        <v>17</v>
      </c>
      <c r="E87">
        <v>431.82</v>
      </c>
      <c r="F87" t="s">
        <v>31</v>
      </c>
      <c r="G87" t="s">
        <v>36</v>
      </c>
      <c r="H87">
        <v>0</v>
      </c>
      <c r="I87" t="s">
        <v>37</v>
      </c>
      <c r="J87">
        <v>7340.94</v>
      </c>
      <c r="K87" t="s">
        <v>44</v>
      </c>
      <c r="L87" t="s">
        <v>48</v>
      </c>
      <c r="M87">
        <v>1</v>
      </c>
      <c r="N87" t="s">
        <v>136</v>
      </c>
      <c r="O87" t="s">
        <v>1636</v>
      </c>
      <c r="P87">
        <v>37.75</v>
      </c>
      <c r="Q87" s="1">
        <v>45128</v>
      </c>
      <c r="R87" s="1">
        <v>45132</v>
      </c>
      <c r="S87" t="s">
        <v>2925</v>
      </c>
    </row>
    <row r="88" spans="1:19" x14ac:dyDescent="0.3">
      <c r="A88" s="1">
        <v>45802</v>
      </c>
      <c r="B88" t="s">
        <v>19</v>
      </c>
      <c r="C88" t="s">
        <v>24</v>
      </c>
      <c r="D88">
        <v>15</v>
      </c>
      <c r="E88">
        <v>15.85</v>
      </c>
      <c r="F88" t="s">
        <v>33</v>
      </c>
      <c r="G88" t="s">
        <v>36</v>
      </c>
      <c r="H88">
        <v>0</v>
      </c>
      <c r="I88" t="s">
        <v>42</v>
      </c>
      <c r="J88">
        <v>237.75</v>
      </c>
      <c r="K88" t="s">
        <v>46</v>
      </c>
      <c r="L88" t="s">
        <v>50</v>
      </c>
      <c r="M88">
        <v>0</v>
      </c>
      <c r="N88" t="s">
        <v>137</v>
      </c>
      <c r="O88" t="s">
        <v>1637</v>
      </c>
      <c r="P88">
        <v>23.49</v>
      </c>
      <c r="Q88" s="1">
        <v>45802</v>
      </c>
      <c r="R88" s="1">
        <v>45811</v>
      </c>
      <c r="S88" t="s">
        <v>2922</v>
      </c>
    </row>
    <row r="89" spans="1:19" x14ac:dyDescent="0.3">
      <c r="A89" s="1">
        <v>45612</v>
      </c>
      <c r="B89" t="s">
        <v>20</v>
      </c>
      <c r="C89" t="s">
        <v>29</v>
      </c>
      <c r="D89">
        <v>20</v>
      </c>
      <c r="E89">
        <v>548.34</v>
      </c>
      <c r="F89" t="s">
        <v>31</v>
      </c>
      <c r="G89" t="s">
        <v>36</v>
      </c>
      <c r="H89">
        <v>0.1</v>
      </c>
      <c r="I89" t="s">
        <v>42</v>
      </c>
      <c r="J89">
        <v>9870.1200000000008</v>
      </c>
      <c r="K89" t="s">
        <v>44</v>
      </c>
      <c r="L89" t="s">
        <v>50</v>
      </c>
      <c r="M89">
        <v>0</v>
      </c>
      <c r="N89" t="s">
        <v>138</v>
      </c>
      <c r="O89" t="s">
        <v>1638</v>
      </c>
      <c r="P89">
        <v>33.47</v>
      </c>
      <c r="Q89" s="1">
        <v>45612</v>
      </c>
      <c r="R89" s="1">
        <v>45618</v>
      </c>
      <c r="S89" t="s">
        <v>2923</v>
      </c>
    </row>
    <row r="90" spans="1:19" x14ac:dyDescent="0.3">
      <c r="A90" s="1">
        <v>45249</v>
      </c>
      <c r="B90" t="s">
        <v>21</v>
      </c>
      <c r="C90" t="s">
        <v>24</v>
      </c>
      <c r="D90">
        <v>16</v>
      </c>
      <c r="E90">
        <v>525.83000000000004</v>
      </c>
      <c r="F90" t="s">
        <v>33</v>
      </c>
      <c r="G90" t="s">
        <v>35</v>
      </c>
      <c r="H90">
        <v>0.05</v>
      </c>
      <c r="I90" t="s">
        <v>39</v>
      </c>
      <c r="J90">
        <v>7992.616</v>
      </c>
      <c r="K90" t="s">
        <v>43</v>
      </c>
      <c r="L90" t="s">
        <v>2927</v>
      </c>
      <c r="M90">
        <v>0</v>
      </c>
      <c r="N90" t="s">
        <v>139</v>
      </c>
      <c r="O90" t="s">
        <v>1639</v>
      </c>
      <c r="P90">
        <v>36.47</v>
      </c>
      <c r="Q90" s="1">
        <v>45249</v>
      </c>
      <c r="R90" s="1">
        <v>45255</v>
      </c>
      <c r="S90" t="s">
        <v>2924</v>
      </c>
    </row>
    <row r="91" spans="1:19" x14ac:dyDescent="0.3">
      <c r="A91" s="1">
        <v>45669</v>
      </c>
      <c r="B91" t="s">
        <v>22</v>
      </c>
      <c r="C91" t="s">
        <v>24</v>
      </c>
      <c r="D91">
        <v>15</v>
      </c>
      <c r="E91">
        <v>411.38</v>
      </c>
      <c r="F91" t="s">
        <v>32</v>
      </c>
      <c r="G91" t="s">
        <v>35</v>
      </c>
      <c r="H91">
        <v>0.05</v>
      </c>
      <c r="I91" t="s">
        <v>42</v>
      </c>
      <c r="J91">
        <v>5862.165</v>
      </c>
      <c r="K91" t="s">
        <v>43</v>
      </c>
      <c r="L91" t="s">
        <v>49</v>
      </c>
      <c r="M91">
        <v>0</v>
      </c>
      <c r="N91" t="s">
        <v>140</v>
      </c>
      <c r="O91" t="s">
        <v>1640</v>
      </c>
      <c r="P91">
        <v>48.51</v>
      </c>
      <c r="Q91" s="1">
        <v>45669</v>
      </c>
      <c r="R91" s="1">
        <v>45678</v>
      </c>
      <c r="S91" t="s">
        <v>2925</v>
      </c>
    </row>
    <row r="92" spans="1:19" x14ac:dyDescent="0.3">
      <c r="A92" s="1">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1">
        <v>45014</v>
      </c>
      <c r="R92" s="1">
        <v>45019</v>
      </c>
      <c r="S92" t="s">
        <v>2924</v>
      </c>
    </row>
    <row r="93" spans="1:19" x14ac:dyDescent="0.3">
      <c r="A93" s="1">
        <v>45717</v>
      </c>
      <c r="B93" t="s">
        <v>21</v>
      </c>
      <c r="C93" t="s">
        <v>26</v>
      </c>
      <c r="D93">
        <v>8</v>
      </c>
      <c r="E93">
        <v>179.9</v>
      </c>
      <c r="F93" t="s">
        <v>33</v>
      </c>
      <c r="G93" t="s">
        <v>36</v>
      </c>
      <c r="H93">
        <v>0.05</v>
      </c>
      <c r="I93" t="s">
        <v>40</v>
      </c>
      <c r="J93">
        <v>1367.24</v>
      </c>
      <c r="K93" t="s">
        <v>43</v>
      </c>
      <c r="L93" t="s">
        <v>49</v>
      </c>
      <c r="M93">
        <v>0</v>
      </c>
      <c r="N93" t="s">
        <v>142</v>
      </c>
      <c r="O93" t="s">
        <v>1642</v>
      </c>
      <c r="P93">
        <v>14.8</v>
      </c>
      <c r="Q93" s="1">
        <v>45717</v>
      </c>
      <c r="R93" s="1">
        <v>45721</v>
      </c>
      <c r="S93" t="s">
        <v>2924</v>
      </c>
    </row>
    <row r="94" spans="1:19" x14ac:dyDescent="0.3">
      <c r="A94" s="1">
        <v>45217</v>
      </c>
      <c r="B94" t="s">
        <v>21</v>
      </c>
      <c r="C94" t="s">
        <v>27</v>
      </c>
      <c r="D94">
        <v>12</v>
      </c>
      <c r="E94">
        <v>494.15</v>
      </c>
      <c r="F94" t="s">
        <v>31</v>
      </c>
      <c r="G94" t="s">
        <v>35</v>
      </c>
      <c r="H94">
        <v>0.15</v>
      </c>
      <c r="I94" t="s">
        <v>41</v>
      </c>
      <c r="J94">
        <v>5040.329999999999</v>
      </c>
      <c r="K94" t="s">
        <v>43</v>
      </c>
      <c r="L94" t="s">
        <v>49</v>
      </c>
      <c r="M94">
        <v>1</v>
      </c>
      <c r="N94" t="s">
        <v>143</v>
      </c>
      <c r="O94" t="s">
        <v>1643</v>
      </c>
      <c r="P94">
        <v>18.05</v>
      </c>
      <c r="Q94" s="1">
        <v>45217</v>
      </c>
      <c r="R94" s="1">
        <v>45219</v>
      </c>
      <c r="S94" t="s">
        <v>2924</v>
      </c>
    </row>
    <row r="95" spans="1:19" x14ac:dyDescent="0.3">
      <c r="A95" s="1">
        <v>45760</v>
      </c>
      <c r="B95" t="s">
        <v>19</v>
      </c>
      <c r="C95" t="s">
        <v>26</v>
      </c>
      <c r="D95">
        <v>10</v>
      </c>
      <c r="E95">
        <v>462.99</v>
      </c>
      <c r="F95" t="s">
        <v>33</v>
      </c>
      <c r="G95" t="s">
        <v>35</v>
      </c>
      <c r="H95">
        <v>0</v>
      </c>
      <c r="I95" t="s">
        <v>42</v>
      </c>
      <c r="J95">
        <v>4629.8999999999996</v>
      </c>
      <c r="K95" t="s">
        <v>45</v>
      </c>
      <c r="L95" t="s">
        <v>50</v>
      </c>
      <c r="M95">
        <v>0</v>
      </c>
      <c r="N95" t="s">
        <v>144</v>
      </c>
      <c r="O95" t="s">
        <v>1644</v>
      </c>
      <c r="P95">
        <v>5.01</v>
      </c>
      <c r="Q95" s="1">
        <v>45760</v>
      </c>
      <c r="R95" s="1">
        <v>45762</v>
      </c>
      <c r="S95" t="s">
        <v>2922</v>
      </c>
    </row>
    <row r="96" spans="1:19" x14ac:dyDescent="0.3">
      <c r="A96" s="1">
        <v>45790</v>
      </c>
      <c r="B96" t="s">
        <v>22</v>
      </c>
      <c r="C96" t="s">
        <v>24</v>
      </c>
      <c r="D96">
        <v>7</v>
      </c>
      <c r="E96">
        <v>460.24</v>
      </c>
      <c r="F96" t="s">
        <v>32</v>
      </c>
      <c r="G96" t="s">
        <v>36</v>
      </c>
      <c r="H96">
        <v>0.05</v>
      </c>
      <c r="I96" t="s">
        <v>38</v>
      </c>
      <c r="J96">
        <v>3060.596</v>
      </c>
      <c r="K96" t="s">
        <v>47</v>
      </c>
      <c r="L96" t="s">
        <v>49</v>
      </c>
      <c r="M96">
        <v>1</v>
      </c>
      <c r="N96" t="s">
        <v>145</v>
      </c>
      <c r="O96" t="s">
        <v>1645</v>
      </c>
      <c r="P96">
        <v>11.54</v>
      </c>
      <c r="Q96" s="1">
        <v>45790</v>
      </c>
      <c r="R96" s="1">
        <v>45800</v>
      </c>
      <c r="S96" t="s">
        <v>2925</v>
      </c>
    </row>
    <row r="97" spans="1:19" x14ac:dyDescent="0.3">
      <c r="A97" s="1">
        <v>45403</v>
      </c>
      <c r="B97" t="s">
        <v>23</v>
      </c>
      <c r="C97" t="s">
        <v>30</v>
      </c>
      <c r="D97">
        <v>17</v>
      </c>
      <c r="E97">
        <v>309.52</v>
      </c>
      <c r="F97" t="s">
        <v>31</v>
      </c>
      <c r="G97" t="s">
        <v>35</v>
      </c>
      <c r="H97">
        <v>0.05</v>
      </c>
      <c r="I97" t="s">
        <v>37</v>
      </c>
      <c r="J97">
        <v>4998.7479999999996</v>
      </c>
      <c r="K97" t="s">
        <v>43</v>
      </c>
      <c r="L97" t="s">
        <v>48</v>
      </c>
      <c r="M97">
        <v>0</v>
      </c>
      <c r="N97" t="s">
        <v>146</v>
      </c>
      <c r="O97" t="s">
        <v>1646</v>
      </c>
      <c r="P97">
        <v>6.11</v>
      </c>
      <c r="Q97" s="1">
        <v>45403</v>
      </c>
      <c r="R97" s="1">
        <v>45409</v>
      </c>
      <c r="S97" t="s">
        <v>2926</v>
      </c>
    </row>
    <row r="98" spans="1:19" x14ac:dyDescent="0.3">
      <c r="A98" s="1">
        <v>45688</v>
      </c>
      <c r="B98" t="s">
        <v>22</v>
      </c>
      <c r="C98" t="s">
        <v>28</v>
      </c>
      <c r="D98">
        <v>1</v>
      </c>
      <c r="E98">
        <v>323.83</v>
      </c>
      <c r="F98" t="s">
        <v>31</v>
      </c>
      <c r="G98" t="s">
        <v>35</v>
      </c>
      <c r="H98">
        <v>0.05</v>
      </c>
      <c r="I98" t="s">
        <v>37</v>
      </c>
      <c r="J98">
        <v>307.63850000000002</v>
      </c>
      <c r="K98" t="s">
        <v>45</v>
      </c>
      <c r="L98" t="s">
        <v>50</v>
      </c>
      <c r="M98">
        <v>0</v>
      </c>
      <c r="N98" t="s">
        <v>147</v>
      </c>
      <c r="O98" t="s">
        <v>1647</v>
      </c>
      <c r="P98">
        <v>27.48</v>
      </c>
      <c r="Q98" s="1">
        <v>45688</v>
      </c>
      <c r="R98" s="1">
        <v>45696</v>
      </c>
      <c r="S98" t="s">
        <v>2925</v>
      </c>
    </row>
    <row r="99" spans="1:19" x14ac:dyDescent="0.3">
      <c r="A99" s="1">
        <v>45730</v>
      </c>
      <c r="B99" t="s">
        <v>22</v>
      </c>
      <c r="C99" t="s">
        <v>27</v>
      </c>
      <c r="D99">
        <v>10</v>
      </c>
      <c r="E99">
        <v>503.07</v>
      </c>
      <c r="F99" t="s">
        <v>33</v>
      </c>
      <c r="G99" t="s">
        <v>36</v>
      </c>
      <c r="H99">
        <v>0</v>
      </c>
      <c r="I99" t="s">
        <v>42</v>
      </c>
      <c r="J99">
        <v>5030.7</v>
      </c>
      <c r="K99" t="s">
        <v>45</v>
      </c>
      <c r="L99" t="s">
        <v>48</v>
      </c>
      <c r="M99">
        <v>0</v>
      </c>
      <c r="N99" t="s">
        <v>148</v>
      </c>
      <c r="O99" t="s">
        <v>1648</v>
      </c>
      <c r="P99">
        <v>44.61</v>
      </c>
      <c r="Q99" s="1">
        <v>45730</v>
      </c>
      <c r="R99" s="1">
        <v>45735</v>
      </c>
      <c r="S99" t="s">
        <v>2925</v>
      </c>
    </row>
    <row r="100" spans="1:19" x14ac:dyDescent="0.3">
      <c r="A100" s="1">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1">
        <v>45438</v>
      </c>
      <c r="R100" s="1">
        <v>45441</v>
      </c>
      <c r="S100" t="s">
        <v>2926</v>
      </c>
    </row>
    <row r="101" spans="1:19" x14ac:dyDescent="0.3">
      <c r="A101" s="1">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1">
        <v>45129</v>
      </c>
      <c r="R101" s="1">
        <v>45133</v>
      </c>
      <c r="S101" t="s">
        <v>2924</v>
      </c>
    </row>
    <row r="102" spans="1:19" x14ac:dyDescent="0.3">
      <c r="A102" s="1">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1">
        <v>45372</v>
      </c>
      <c r="R102" s="1">
        <v>45381</v>
      </c>
      <c r="S102" t="s">
        <v>2924</v>
      </c>
    </row>
    <row r="103" spans="1:19" x14ac:dyDescent="0.3">
      <c r="A103" s="1">
        <v>45021</v>
      </c>
      <c r="B103" t="s">
        <v>23</v>
      </c>
      <c r="C103" t="s">
        <v>30</v>
      </c>
      <c r="D103">
        <v>3</v>
      </c>
      <c r="E103">
        <v>221</v>
      </c>
      <c r="F103" t="s">
        <v>31</v>
      </c>
      <c r="G103" t="s">
        <v>35</v>
      </c>
      <c r="H103">
        <v>0</v>
      </c>
      <c r="I103" t="s">
        <v>39</v>
      </c>
      <c r="J103">
        <v>663</v>
      </c>
      <c r="K103" t="s">
        <v>47</v>
      </c>
      <c r="L103" t="s">
        <v>48</v>
      </c>
      <c r="M103">
        <v>0</v>
      </c>
      <c r="N103" t="s">
        <v>152</v>
      </c>
      <c r="O103" t="s">
        <v>1652</v>
      </c>
      <c r="P103">
        <v>32.31</v>
      </c>
      <c r="Q103" s="1">
        <v>45021</v>
      </c>
      <c r="R103" s="1">
        <v>45024</v>
      </c>
      <c r="S103" t="s">
        <v>2926</v>
      </c>
    </row>
    <row r="104" spans="1:19" x14ac:dyDescent="0.3">
      <c r="A104" s="1">
        <v>45530</v>
      </c>
      <c r="B104" t="s">
        <v>19</v>
      </c>
      <c r="C104" t="s">
        <v>28</v>
      </c>
      <c r="D104">
        <v>6</v>
      </c>
      <c r="E104">
        <v>188.45</v>
      </c>
      <c r="F104" t="s">
        <v>33</v>
      </c>
      <c r="G104" t="s">
        <v>35</v>
      </c>
      <c r="H104">
        <v>0.05</v>
      </c>
      <c r="I104" t="s">
        <v>38</v>
      </c>
      <c r="J104">
        <v>1074.165</v>
      </c>
      <c r="K104" t="s">
        <v>44</v>
      </c>
      <c r="L104" t="s">
        <v>2927</v>
      </c>
      <c r="M104">
        <v>0</v>
      </c>
      <c r="N104" t="s">
        <v>153</v>
      </c>
      <c r="O104" t="s">
        <v>1653</v>
      </c>
      <c r="P104">
        <v>6.77</v>
      </c>
      <c r="Q104" s="1">
        <v>45530</v>
      </c>
      <c r="R104" s="1">
        <v>45536</v>
      </c>
      <c r="S104" t="s">
        <v>2922</v>
      </c>
    </row>
    <row r="105" spans="1:19" x14ac:dyDescent="0.3">
      <c r="A105" s="1">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1">
        <v>45480</v>
      </c>
      <c r="R105" s="1">
        <v>45490</v>
      </c>
      <c r="S105" t="s">
        <v>2924</v>
      </c>
    </row>
    <row r="106" spans="1:19" x14ac:dyDescent="0.3">
      <c r="A106" s="1">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1">
        <v>45198</v>
      </c>
      <c r="R106" s="1">
        <v>45207</v>
      </c>
      <c r="S106" t="s">
        <v>2922</v>
      </c>
    </row>
    <row r="107" spans="1:19" x14ac:dyDescent="0.3">
      <c r="A107" s="1">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1">
        <v>45203</v>
      </c>
      <c r="R107" s="1">
        <v>45210</v>
      </c>
      <c r="S107" t="s">
        <v>2926</v>
      </c>
    </row>
    <row r="108" spans="1:19" x14ac:dyDescent="0.3">
      <c r="A108" s="1">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1">
        <v>45817</v>
      </c>
      <c r="R108" s="1">
        <v>45824</v>
      </c>
      <c r="S108" t="s">
        <v>2925</v>
      </c>
    </row>
    <row r="109" spans="1:19" x14ac:dyDescent="0.3">
      <c r="A109" s="1">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1">
        <v>45820</v>
      </c>
      <c r="R109" s="1">
        <v>45822</v>
      </c>
      <c r="S109" t="s">
        <v>2922</v>
      </c>
    </row>
    <row r="110" spans="1:19" x14ac:dyDescent="0.3">
      <c r="A110" s="1">
        <v>45472</v>
      </c>
      <c r="B110" t="s">
        <v>19</v>
      </c>
      <c r="C110" t="s">
        <v>27</v>
      </c>
      <c r="D110">
        <v>3</v>
      </c>
      <c r="E110">
        <v>168.05</v>
      </c>
      <c r="F110" t="s">
        <v>32</v>
      </c>
      <c r="G110" t="s">
        <v>36</v>
      </c>
      <c r="H110">
        <v>0</v>
      </c>
      <c r="I110" t="s">
        <v>40</v>
      </c>
      <c r="J110">
        <v>504.15</v>
      </c>
      <c r="K110" t="s">
        <v>47</v>
      </c>
      <c r="L110" t="s">
        <v>2927</v>
      </c>
      <c r="M110">
        <v>1</v>
      </c>
      <c r="N110" t="s">
        <v>159</v>
      </c>
      <c r="O110" t="s">
        <v>1659</v>
      </c>
      <c r="P110">
        <v>21.08</v>
      </c>
      <c r="Q110" s="1">
        <v>45472</v>
      </c>
      <c r="R110" s="1">
        <v>45479</v>
      </c>
      <c r="S110" t="s">
        <v>2922</v>
      </c>
    </row>
    <row r="111" spans="1:19" x14ac:dyDescent="0.3">
      <c r="A111" s="1">
        <v>45374</v>
      </c>
      <c r="B111" t="s">
        <v>21</v>
      </c>
      <c r="C111" t="s">
        <v>30</v>
      </c>
      <c r="D111">
        <v>14</v>
      </c>
      <c r="E111">
        <v>37.54</v>
      </c>
      <c r="F111" t="s">
        <v>31</v>
      </c>
      <c r="G111" t="s">
        <v>36</v>
      </c>
      <c r="H111">
        <v>0.15</v>
      </c>
      <c r="I111" t="s">
        <v>38</v>
      </c>
      <c r="J111">
        <v>446.72599999999989</v>
      </c>
      <c r="K111" t="s">
        <v>45</v>
      </c>
      <c r="L111" t="s">
        <v>2927</v>
      </c>
      <c r="M111">
        <v>1</v>
      </c>
      <c r="N111" t="s">
        <v>160</v>
      </c>
      <c r="O111" t="s">
        <v>1660</v>
      </c>
      <c r="P111">
        <v>49.6</v>
      </c>
      <c r="Q111" s="1">
        <v>45374</v>
      </c>
      <c r="R111" s="1">
        <v>45384</v>
      </c>
      <c r="S111" t="s">
        <v>2924</v>
      </c>
    </row>
    <row r="112" spans="1:19" x14ac:dyDescent="0.3">
      <c r="A112" s="1">
        <v>45487</v>
      </c>
      <c r="B112" t="s">
        <v>20</v>
      </c>
      <c r="C112" t="s">
        <v>29</v>
      </c>
      <c r="D112">
        <v>4</v>
      </c>
      <c r="E112">
        <v>151.16</v>
      </c>
      <c r="F112" t="s">
        <v>31</v>
      </c>
      <c r="G112" t="s">
        <v>35</v>
      </c>
      <c r="H112">
        <v>0</v>
      </c>
      <c r="I112" t="s">
        <v>38</v>
      </c>
      <c r="J112">
        <v>604.64</v>
      </c>
      <c r="K112" t="s">
        <v>44</v>
      </c>
      <c r="L112" t="s">
        <v>49</v>
      </c>
      <c r="M112">
        <v>1</v>
      </c>
      <c r="N112" t="s">
        <v>161</v>
      </c>
      <c r="O112" t="s">
        <v>1661</v>
      </c>
      <c r="P112">
        <v>41.4</v>
      </c>
      <c r="Q112" s="1">
        <v>45487</v>
      </c>
      <c r="R112" s="1">
        <v>45494</v>
      </c>
      <c r="S112" t="s">
        <v>2923</v>
      </c>
    </row>
    <row r="113" spans="1:19" x14ac:dyDescent="0.3">
      <c r="A113" s="1">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1">
        <v>45366</v>
      </c>
      <c r="R113" s="1">
        <v>45376</v>
      </c>
      <c r="S113" t="s">
        <v>2923</v>
      </c>
    </row>
    <row r="114" spans="1:19" x14ac:dyDescent="0.3">
      <c r="A114" s="1">
        <v>45766</v>
      </c>
      <c r="B114" t="s">
        <v>22</v>
      </c>
      <c r="C114" t="s">
        <v>27</v>
      </c>
      <c r="D114">
        <v>15</v>
      </c>
      <c r="E114">
        <v>37.33</v>
      </c>
      <c r="F114" t="s">
        <v>31</v>
      </c>
      <c r="G114" t="s">
        <v>36</v>
      </c>
      <c r="H114">
        <v>0.05</v>
      </c>
      <c r="I114" t="s">
        <v>40</v>
      </c>
      <c r="J114">
        <v>531.95249999999987</v>
      </c>
      <c r="K114" t="s">
        <v>47</v>
      </c>
      <c r="L114" t="s">
        <v>2927</v>
      </c>
      <c r="M114">
        <v>1</v>
      </c>
      <c r="N114" t="s">
        <v>163</v>
      </c>
      <c r="O114" t="s">
        <v>1663</v>
      </c>
      <c r="P114">
        <v>43.69</v>
      </c>
      <c r="Q114" s="1">
        <v>45766</v>
      </c>
      <c r="R114" s="1">
        <v>45771</v>
      </c>
      <c r="S114" t="s">
        <v>2925</v>
      </c>
    </row>
    <row r="115" spans="1:19" x14ac:dyDescent="0.3">
      <c r="A115" s="1">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1">
        <v>45337</v>
      </c>
      <c r="R115" s="1">
        <v>45342</v>
      </c>
      <c r="S115" t="s">
        <v>2926</v>
      </c>
    </row>
    <row r="116" spans="1:19" x14ac:dyDescent="0.3">
      <c r="A116" s="1">
        <v>45316</v>
      </c>
      <c r="B116" t="s">
        <v>19</v>
      </c>
      <c r="C116" t="s">
        <v>26</v>
      </c>
      <c r="D116">
        <v>5</v>
      </c>
      <c r="E116">
        <v>215.6</v>
      </c>
      <c r="F116" t="s">
        <v>33</v>
      </c>
      <c r="G116" t="s">
        <v>35</v>
      </c>
      <c r="H116">
        <v>0</v>
      </c>
      <c r="I116" t="s">
        <v>39</v>
      </c>
      <c r="J116">
        <v>1078</v>
      </c>
      <c r="K116" t="s">
        <v>43</v>
      </c>
      <c r="L116" t="s">
        <v>50</v>
      </c>
      <c r="M116">
        <v>0</v>
      </c>
      <c r="N116" t="s">
        <v>165</v>
      </c>
      <c r="O116" t="s">
        <v>1665</v>
      </c>
      <c r="P116">
        <v>28.36</v>
      </c>
      <c r="Q116" s="1">
        <v>45316</v>
      </c>
      <c r="R116" s="1">
        <v>45326</v>
      </c>
      <c r="S116" t="s">
        <v>2922</v>
      </c>
    </row>
    <row r="117" spans="1:19" x14ac:dyDescent="0.3">
      <c r="A117" s="1">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1">
        <v>45762</v>
      </c>
      <c r="R117" s="1">
        <v>45770</v>
      </c>
      <c r="S117" t="s">
        <v>2925</v>
      </c>
    </row>
    <row r="118" spans="1:19" x14ac:dyDescent="0.3">
      <c r="A118" s="1">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1">
        <v>45762</v>
      </c>
      <c r="R118" s="1">
        <v>45767</v>
      </c>
      <c r="S118" t="s">
        <v>2925</v>
      </c>
    </row>
    <row r="119" spans="1:19" x14ac:dyDescent="0.3">
      <c r="A119" s="1">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1">
        <v>45515</v>
      </c>
      <c r="R119" s="1">
        <v>45517</v>
      </c>
      <c r="S119" t="s">
        <v>2926</v>
      </c>
    </row>
    <row r="120" spans="1:19" x14ac:dyDescent="0.3">
      <c r="A120" s="1">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1">
        <v>45261</v>
      </c>
      <c r="R120" s="1">
        <v>45268</v>
      </c>
      <c r="S120" t="s">
        <v>2923</v>
      </c>
    </row>
    <row r="121" spans="1:19" x14ac:dyDescent="0.3">
      <c r="A121" s="1">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1">
        <v>45144</v>
      </c>
      <c r="R121" s="1">
        <v>45149</v>
      </c>
      <c r="S121" t="s">
        <v>2925</v>
      </c>
    </row>
    <row r="122" spans="1:19" x14ac:dyDescent="0.3">
      <c r="A122" s="1">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1">
        <v>45315</v>
      </c>
      <c r="R122" s="1">
        <v>45322</v>
      </c>
      <c r="S122" t="s">
        <v>2925</v>
      </c>
    </row>
    <row r="123" spans="1:19" x14ac:dyDescent="0.3">
      <c r="A123" s="1">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1">
        <v>45358</v>
      </c>
      <c r="R123" s="1">
        <v>45364</v>
      </c>
      <c r="S123" t="s">
        <v>2925</v>
      </c>
    </row>
    <row r="124" spans="1:19" x14ac:dyDescent="0.3">
      <c r="A124" s="1">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1">
        <v>45313</v>
      </c>
      <c r="R124" s="1">
        <v>45319</v>
      </c>
      <c r="S124" t="s">
        <v>2923</v>
      </c>
    </row>
    <row r="125" spans="1:19" x14ac:dyDescent="0.3">
      <c r="A125" s="1">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1">
        <v>44980</v>
      </c>
      <c r="R125" s="1">
        <v>44984</v>
      </c>
      <c r="S125" t="s">
        <v>2922</v>
      </c>
    </row>
    <row r="126" spans="1:19" x14ac:dyDescent="0.3">
      <c r="A126" s="1">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1">
        <v>45091</v>
      </c>
      <c r="R126" s="1">
        <v>45099</v>
      </c>
      <c r="S126" t="s">
        <v>2924</v>
      </c>
    </row>
    <row r="127" spans="1:19" x14ac:dyDescent="0.3">
      <c r="A127" s="1">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1">
        <v>45790</v>
      </c>
      <c r="R127" s="1">
        <v>45792</v>
      </c>
      <c r="S127" t="s">
        <v>2924</v>
      </c>
    </row>
    <row r="128" spans="1:19" x14ac:dyDescent="0.3">
      <c r="A128" s="1">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1">
        <v>45503</v>
      </c>
      <c r="R128" s="1">
        <v>45510</v>
      </c>
      <c r="S128" t="s">
        <v>2925</v>
      </c>
    </row>
    <row r="129" spans="1:19" x14ac:dyDescent="0.3">
      <c r="A129" s="1">
        <v>45491</v>
      </c>
      <c r="B129" t="s">
        <v>19</v>
      </c>
      <c r="C129" t="s">
        <v>29</v>
      </c>
      <c r="D129">
        <v>5</v>
      </c>
      <c r="E129">
        <v>23.41</v>
      </c>
      <c r="F129" t="s">
        <v>31</v>
      </c>
      <c r="G129" t="s">
        <v>35</v>
      </c>
      <c r="H129">
        <v>0</v>
      </c>
      <c r="I129" t="s">
        <v>39</v>
      </c>
      <c r="J129">
        <v>117.05</v>
      </c>
      <c r="K129" t="s">
        <v>45</v>
      </c>
      <c r="L129" t="s">
        <v>50</v>
      </c>
      <c r="M129">
        <v>0</v>
      </c>
      <c r="N129" t="s">
        <v>178</v>
      </c>
      <c r="O129" t="s">
        <v>1678</v>
      </c>
      <c r="P129">
        <v>26.44</v>
      </c>
      <c r="Q129" s="1">
        <v>45491</v>
      </c>
      <c r="R129" s="1">
        <v>45500</v>
      </c>
      <c r="S129" t="s">
        <v>2922</v>
      </c>
    </row>
    <row r="130" spans="1:19" x14ac:dyDescent="0.3">
      <c r="A130" s="1">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1">
        <v>45530</v>
      </c>
      <c r="R130" s="1">
        <v>45536</v>
      </c>
      <c r="S130" t="s">
        <v>2922</v>
      </c>
    </row>
    <row r="131" spans="1:19" x14ac:dyDescent="0.3">
      <c r="A131" s="1">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1">
        <v>45816</v>
      </c>
      <c r="R131" s="1">
        <v>45823</v>
      </c>
      <c r="S131" t="s">
        <v>2926</v>
      </c>
    </row>
    <row r="132" spans="1:19" x14ac:dyDescent="0.3">
      <c r="A132" s="1">
        <v>45793</v>
      </c>
      <c r="B132" t="s">
        <v>21</v>
      </c>
      <c r="C132" t="s">
        <v>26</v>
      </c>
      <c r="D132">
        <v>11</v>
      </c>
      <c r="E132">
        <v>465.24</v>
      </c>
      <c r="F132" t="s">
        <v>32</v>
      </c>
      <c r="G132" t="s">
        <v>35</v>
      </c>
      <c r="H132">
        <v>0</v>
      </c>
      <c r="I132" t="s">
        <v>40</v>
      </c>
      <c r="J132">
        <v>5117.6400000000003</v>
      </c>
      <c r="K132" t="s">
        <v>46</v>
      </c>
      <c r="L132" t="s">
        <v>2927</v>
      </c>
      <c r="M132">
        <v>1</v>
      </c>
      <c r="N132" t="s">
        <v>181</v>
      </c>
      <c r="O132" t="s">
        <v>1681</v>
      </c>
      <c r="P132">
        <v>17.59</v>
      </c>
      <c r="Q132" s="1">
        <v>45793</v>
      </c>
      <c r="R132" s="1">
        <v>45800</v>
      </c>
      <c r="S132" t="s">
        <v>2924</v>
      </c>
    </row>
    <row r="133" spans="1:19" x14ac:dyDescent="0.3">
      <c r="A133" s="1">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1">
        <v>45491</v>
      </c>
      <c r="R133" s="1">
        <v>45497</v>
      </c>
      <c r="S133" t="s">
        <v>2922</v>
      </c>
    </row>
    <row r="134" spans="1:19" x14ac:dyDescent="0.3">
      <c r="A134" s="1">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1">
        <v>45186</v>
      </c>
      <c r="R134" s="1">
        <v>45195</v>
      </c>
      <c r="S134" t="s">
        <v>2926</v>
      </c>
    </row>
    <row r="135" spans="1:19" x14ac:dyDescent="0.3">
      <c r="A135" s="1">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1">
        <v>44998</v>
      </c>
      <c r="R135" s="1">
        <v>45004</v>
      </c>
      <c r="S135" t="s">
        <v>2922</v>
      </c>
    </row>
    <row r="136" spans="1:19" x14ac:dyDescent="0.3">
      <c r="A136" s="1">
        <v>45014</v>
      </c>
      <c r="B136" t="s">
        <v>20</v>
      </c>
      <c r="C136" t="s">
        <v>27</v>
      </c>
      <c r="D136">
        <v>4</v>
      </c>
      <c r="E136">
        <v>565.29</v>
      </c>
      <c r="F136" t="s">
        <v>34</v>
      </c>
      <c r="G136" t="s">
        <v>35</v>
      </c>
      <c r="H136">
        <v>0.05</v>
      </c>
      <c r="I136" t="s">
        <v>38</v>
      </c>
      <c r="J136">
        <v>2148.1019999999999</v>
      </c>
      <c r="K136" t="s">
        <v>47</v>
      </c>
      <c r="L136" t="s">
        <v>2927</v>
      </c>
      <c r="M136">
        <v>0</v>
      </c>
      <c r="N136" t="s">
        <v>185</v>
      </c>
      <c r="O136" t="s">
        <v>1685</v>
      </c>
      <c r="P136">
        <v>27.04</v>
      </c>
      <c r="Q136" s="1">
        <v>45014</v>
      </c>
      <c r="R136" s="1">
        <v>45019</v>
      </c>
      <c r="S136" t="s">
        <v>2923</v>
      </c>
    </row>
    <row r="137" spans="1:19" x14ac:dyDescent="0.3">
      <c r="A137" s="1">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1">
        <v>45121</v>
      </c>
      <c r="R137" s="1">
        <v>45130</v>
      </c>
      <c r="S137" t="s">
        <v>2925</v>
      </c>
    </row>
    <row r="138" spans="1:19" x14ac:dyDescent="0.3">
      <c r="A138" s="1">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1">
        <v>45373</v>
      </c>
      <c r="R138" s="1">
        <v>45382</v>
      </c>
      <c r="S138" t="s">
        <v>2926</v>
      </c>
    </row>
    <row r="139" spans="1:19" x14ac:dyDescent="0.3">
      <c r="A139" s="1">
        <v>45426</v>
      </c>
      <c r="B139" t="s">
        <v>22</v>
      </c>
      <c r="C139" t="s">
        <v>24</v>
      </c>
      <c r="D139">
        <v>11</v>
      </c>
      <c r="E139">
        <v>229.49</v>
      </c>
      <c r="F139" t="s">
        <v>33</v>
      </c>
      <c r="G139" t="s">
        <v>36</v>
      </c>
      <c r="H139">
        <v>0.1</v>
      </c>
      <c r="I139" t="s">
        <v>42</v>
      </c>
      <c r="J139">
        <v>2271.951</v>
      </c>
      <c r="K139" t="s">
        <v>47</v>
      </c>
      <c r="L139" t="s">
        <v>2927</v>
      </c>
      <c r="M139">
        <v>0</v>
      </c>
      <c r="N139" t="s">
        <v>188</v>
      </c>
      <c r="O139" t="s">
        <v>1688</v>
      </c>
      <c r="P139">
        <v>35.39</v>
      </c>
      <c r="Q139" s="1">
        <v>45426</v>
      </c>
      <c r="R139" s="1">
        <v>45429</v>
      </c>
      <c r="S139" t="s">
        <v>2925</v>
      </c>
    </row>
    <row r="140" spans="1:19" x14ac:dyDescent="0.3">
      <c r="A140" s="1">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1">
        <v>45076</v>
      </c>
      <c r="R140" s="1">
        <v>45079</v>
      </c>
      <c r="S140" t="s">
        <v>2925</v>
      </c>
    </row>
    <row r="141" spans="1:19" x14ac:dyDescent="0.3">
      <c r="A141" s="1">
        <v>45004</v>
      </c>
      <c r="B141" t="s">
        <v>21</v>
      </c>
      <c r="C141" t="s">
        <v>25</v>
      </c>
      <c r="D141">
        <v>2</v>
      </c>
      <c r="E141">
        <v>443.51</v>
      </c>
      <c r="F141" t="s">
        <v>33</v>
      </c>
      <c r="G141" t="s">
        <v>35</v>
      </c>
      <c r="H141">
        <v>0.05</v>
      </c>
      <c r="I141" t="s">
        <v>38</v>
      </c>
      <c r="J141">
        <v>842.66899999999998</v>
      </c>
      <c r="K141" t="s">
        <v>47</v>
      </c>
      <c r="L141" t="s">
        <v>2927</v>
      </c>
      <c r="M141">
        <v>0</v>
      </c>
      <c r="N141" t="s">
        <v>190</v>
      </c>
      <c r="O141" t="s">
        <v>1690</v>
      </c>
      <c r="P141">
        <v>13.65</v>
      </c>
      <c r="Q141" s="1">
        <v>45004</v>
      </c>
      <c r="R141" s="1">
        <v>45007</v>
      </c>
      <c r="S141" t="s">
        <v>2924</v>
      </c>
    </row>
    <row r="142" spans="1:19" x14ac:dyDescent="0.3">
      <c r="A142" s="1">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1">
        <v>45147</v>
      </c>
      <c r="R142" s="1">
        <v>45152</v>
      </c>
      <c r="S142" t="s">
        <v>2925</v>
      </c>
    </row>
    <row r="143" spans="1:19" x14ac:dyDescent="0.3">
      <c r="A143" s="1">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1">
        <v>45578</v>
      </c>
      <c r="R143" s="1">
        <v>45585</v>
      </c>
      <c r="S143" t="s">
        <v>2924</v>
      </c>
    </row>
    <row r="144" spans="1:19" x14ac:dyDescent="0.3">
      <c r="A144" s="1">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1">
        <v>45705</v>
      </c>
      <c r="R144" s="1">
        <v>45713</v>
      </c>
      <c r="S144" t="s">
        <v>2922</v>
      </c>
    </row>
    <row r="145" spans="1:19" x14ac:dyDescent="0.3">
      <c r="A145" s="1">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1">
        <v>45819</v>
      </c>
      <c r="R145" s="1">
        <v>45828</v>
      </c>
      <c r="S145" t="s">
        <v>2924</v>
      </c>
    </row>
    <row r="146" spans="1:19" x14ac:dyDescent="0.3">
      <c r="A146" s="1">
        <v>45411</v>
      </c>
      <c r="B146" t="s">
        <v>22</v>
      </c>
      <c r="C146" t="s">
        <v>29</v>
      </c>
      <c r="D146">
        <v>4</v>
      </c>
      <c r="E146">
        <v>163.66</v>
      </c>
      <c r="F146" t="s">
        <v>31</v>
      </c>
      <c r="G146" t="s">
        <v>36</v>
      </c>
      <c r="H146">
        <v>0</v>
      </c>
      <c r="I146" t="s">
        <v>42</v>
      </c>
      <c r="J146">
        <v>654.64</v>
      </c>
      <c r="K146" t="s">
        <v>44</v>
      </c>
      <c r="L146" t="s">
        <v>50</v>
      </c>
      <c r="M146">
        <v>1</v>
      </c>
      <c r="N146" t="s">
        <v>195</v>
      </c>
      <c r="O146" t="s">
        <v>1695</v>
      </c>
      <c r="P146">
        <v>31.8</v>
      </c>
      <c r="Q146" s="1">
        <v>45411</v>
      </c>
      <c r="R146" s="1">
        <v>45413</v>
      </c>
      <c r="S146" t="s">
        <v>2925</v>
      </c>
    </row>
    <row r="147" spans="1:19" x14ac:dyDescent="0.3">
      <c r="A147" s="1">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1">
        <v>45003</v>
      </c>
      <c r="R147" s="1">
        <v>45005</v>
      </c>
      <c r="S147" t="s">
        <v>2926</v>
      </c>
    </row>
    <row r="148" spans="1:19" x14ac:dyDescent="0.3">
      <c r="A148" s="1">
        <v>45647</v>
      </c>
      <c r="B148" t="s">
        <v>21</v>
      </c>
      <c r="C148" t="s">
        <v>27</v>
      </c>
      <c r="D148">
        <v>9</v>
      </c>
      <c r="E148">
        <v>380.4</v>
      </c>
      <c r="F148" t="s">
        <v>31</v>
      </c>
      <c r="G148" t="s">
        <v>36</v>
      </c>
      <c r="H148">
        <v>0.1</v>
      </c>
      <c r="I148" t="s">
        <v>40</v>
      </c>
      <c r="J148">
        <v>3081.24</v>
      </c>
      <c r="K148" t="s">
        <v>45</v>
      </c>
      <c r="L148" t="s">
        <v>2927</v>
      </c>
      <c r="M148">
        <v>0</v>
      </c>
      <c r="N148" t="s">
        <v>197</v>
      </c>
      <c r="O148" t="s">
        <v>1697</v>
      </c>
      <c r="P148">
        <v>31</v>
      </c>
      <c r="Q148" s="1">
        <v>45647</v>
      </c>
      <c r="R148" s="1">
        <v>45653</v>
      </c>
      <c r="S148" t="s">
        <v>2924</v>
      </c>
    </row>
    <row r="149" spans="1:19" x14ac:dyDescent="0.3">
      <c r="A149" s="1">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1">
        <v>45039</v>
      </c>
      <c r="R149" s="1">
        <v>45048</v>
      </c>
      <c r="S149" t="s">
        <v>2926</v>
      </c>
    </row>
    <row r="150" spans="1:19" x14ac:dyDescent="0.3">
      <c r="A150" s="1">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1">
        <v>45788</v>
      </c>
      <c r="R150" s="1">
        <v>45798</v>
      </c>
      <c r="S150" t="s">
        <v>2925</v>
      </c>
    </row>
    <row r="151" spans="1:19" x14ac:dyDescent="0.3">
      <c r="A151" s="1">
        <v>45354</v>
      </c>
      <c r="B151" t="s">
        <v>20</v>
      </c>
      <c r="C151" t="s">
        <v>25</v>
      </c>
      <c r="D151">
        <v>9</v>
      </c>
      <c r="E151">
        <v>382.8</v>
      </c>
      <c r="F151" t="s">
        <v>34</v>
      </c>
      <c r="G151" t="s">
        <v>35</v>
      </c>
      <c r="H151">
        <v>0</v>
      </c>
      <c r="I151" t="s">
        <v>37</v>
      </c>
      <c r="J151">
        <v>3445.2</v>
      </c>
      <c r="K151" t="s">
        <v>47</v>
      </c>
      <c r="L151" t="s">
        <v>2927</v>
      </c>
      <c r="M151">
        <v>0</v>
      </c>
      <c r="N151" t="s">
        <v>200</v>
      </c>
      <c r="O151" t="s">
        <v>1700</v>
      </c>
      <c r="P151">
        <v>47.94</v>
      </c>
      <c r="Q151" s="1">
        <v>45354</v>
      </c>
      <c r="R151" s="1">
        <v>45356</v>
      </c>
      <c r="S151" t="s">
        <v>2923</v>
      </c>
    </row>
    <row r="152" spans="1:19" x14ac:dyDescent="0.3">
      <c r="A152" s="1">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1">
        <v>45677</v>
      </c>
      <c r="R152" s="1">
        <v>45687</v>
      </c>
      <c r="S152" t="s">
        <v>2924</v>
      </c>
    </row>
    <row r="153" spans="1:19" x14ac:dyDescent="0.3">
      <c r="A153" s="1">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1">
        <v>45738</v>
      </c>
      <c r="R153" s="1">
        <v>45746</v>
      </c>
      <c r="S153" t="s">
        <v>2924</v>
      </c>
    </row>
    <row r="154" spans="1:19" x14ac:dyDescent="0.3">
      <c r="A154" s="1">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1">
        <v>45744</v>
      </c>
      <c r="R154" s="1">
        <v>45746</v>
      </c>
      <c r="S154" t="s">
        <v>2923</v>
      </c>
    </row>
    <row r="155" spans="1:19" x14ac:dyDescent="0.3">
      <c r="A155" s="1">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1">
        <v>45705</v>
      </c>
      <c r="R155" s="1">
        <v>45709</v>
      </c>
      <c r="S155" t="s">
        <v>2924</v>
      </c>
    </row>
    <row r="156" spans="1:19" x14ac:dyDescent="0.3">
      <c r="A156" s="1">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1">
        <v>45604</v>
      </c>
      <c r="R156" s="1">
        <v>45607</v>
      </c>
      <c r="S156" t="s">
        <v>2923</v>
      </c>
    </row>
    <row r="157" spans="1:19" x14ac:dyDescent="0.3">
      <c r="A157" s="1">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1">
        <v>45368</v>
      </c>
      <c r="R157" s="1">
        <v>45372</v>
      </c>
      <c r="S157" t="s">
        <v>2923</v>
      </c>
    </row>
    <row r="158" spans="1:19" x14ac:dyDescent="0.3">
      <c r="A158" s="1">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1">
        <v>45167</v>
      </c>
      <c r="R158" s="1">
        <v>45170</v>
      </c>
      <c r="S158" t="s">
        <v>2923</v>
      </c>
    </row>
    <row r="159" spans="1:19" x14ac:dyDescent="0.3">
      <c r="A159" s="1">
        <v>45099</v>
      </c>
      <c r="B159" t="s">
        <v>20</v>
      </c>
      <c r="C159" t="s">
        <v>27</v>
      </c>
      <c r="D159">
        <v>14</v>
      </c>
      <c r="E159">
        <v>291.08999999999997</v>
      </c>
      <c r="F159" t="s">
        <v>32</v>
      </c>
      <c r="G159" t="s">
        <v>36</v>
      </c>
      <c r="H159">
        <v>0</v>
      </c>
      <c r="I159" t="s">
        <v>40</v>
      </c>
      <c r="J159">
        <v>4075.26</v>
      </c>
      <c r="K159" t="s">
        <v>47</v>
      </c>
      <c r="L159" t="s">
        <v>2927</v>
      </c>
      <c r="M159">
        <v>0</v>
      </c>
      <c r="N159" t="s">
        <v>208</v>
      </c>
      <c r="O159" t="s">
        <v>1707</v>
      </c>
      <c r="P159">
        <v>39.979999999999997</v>
      </c>
      <c r="Q159" s="1">
        <v>45099</v>
      </c>
      <c r="R159" s="1">
        <v>45107</v>
      </c>
      <c r="S159" t="s">
        <v>2923</v>
      </c>
    </row>
    <row r="160" spans="1:19" x14ac:dyDescent="0.3">
      <c r="A160" s="1">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1">
        <v>45346</v>
      </c>
      <c r="R160" s="1">
        <v>45352</v>
      </c>
      <c r="S160" t="s">
        <v>2923</v>
      </c>
    </row>
    <row r="161" spans="1:19" x14ac:dyDescent="0.3">
      <c r="A161" s="1">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1">
        <v>45392</v>
      </c>
      <c r="R161" s="1">
        <v>45397</v>
      </c>
      <c r="S161" t="s">
        <v>2924</v>
      </c>
    </row>
    <row r="162" spans="1:19" x14ac:dyDescent="0.3">
      <c r="A162" s="1">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1">
        <v>45060</v>
      </c>
      <c r="R162" s="1">
        <v>45065</v>
      </c>
      <c r="S162" t="s">
        <v>2923</v>
      </c>
    </row>
    <row r="163" spans="1:19" x14ac:dyDescent="0.3">
      <c r="A163" s="1">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1">
        <v>44996</v>
      </c>
      <c r="R163" s="1">
        <v>45003</v>
      </c>
      <c r="S163" t="s">
        <v>2923</v>
      </c>
    </row>
    <row r="164" spans="1:19" x14ac:dyDescent="0.3">
      <c r="A164" s="1">
        <v>45528</v>
      </c>
      <c r="B164" t="s">
        <v>22</v>
      </c>
      <c r="C164" t="s">
        <v>30</v>
      </c>
      <c r="D164">
        <v>5</v>
      </c>
      <c r="E164">
        <v>15.92</v>
      </c>
      <c r="F164" t="s">
        <v>34</v>
      </c>
      <c r="G164" t="s">
        <v>36</v>
      </c>
      <c r="H164">
        <v>0</v>
      </c>
      <c r="I164" t="s">
        <v>37</v>
      </c>
      <c r="J164">
        <v>79.599999999999994</v>
      </c>
      <c r="K164" t="s">
        <v>45</v>
      </c>
      <c r="L164" t="s">
        <v>2927</v>
      </c>
      <c r="M164">
        <v>1</v>
      </c>
      <c r="N164" t="s">
        <v>213</v>
      </c>
      <c r="O164" t="s">
        <v>1712</v>
      </c>
      <c r="P164">
        <v>8.66</v>
      </c>
      <c r="Q164" s="1">
        <v>45528</v>
      </c>
      <c r="R164" s="1">
        <v>45530</v>
      </c>
      <c r="S164" t="s">
        <v>2925</v>
      </c>
    </row>
    <row r="165" spans="1:19" x14ac:dyDescent="0.3">
      <c r="A165" s="1">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1">
        <v>45345</v>
      </c>
      <c r="R165" s="1">
        <v>45352</v>
      </c>
      <c r="S165" t="s">
        <v>2923</v>
      </c>
    </row>
    <row r="166" spans="1:19" x14ac:dyDescent="0.3">
      <c r="A166" s="1">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1">
        <v>45321</v>
      </c>
      <c r="R166" s="1">
        <v>45328</v>
      </c>
      <c r="S166" t="s">
        <v>2924</v>
      </c>
    </row>
    <row r="167" spans="1:19" x14ac:dyDescent="0.3">
      <c r="A167" s="1">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1">
        <v>45314</v>
      </c>
      <c r="R167" s="1">
        <v>45320</v>
      </c>
      <c r="S167" t="s">
        <v>2922</v>
      </c>
    </row>
    <row r="168" spans="1:19" x14ac:dyDescent="0.3">
      <c r="A168" s="1">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1">
        <v>44931</v>
      </c>
      <c r="R168" s="1">
        <v>44934</v>
      </c>
      <c r="S168" t="s">
        <v>2924</v>
      </c>
    </row>
    <row r="169" spans="1:19" x14ac:dyDescent="0.3">
      <c r="A169" s="1">
        <v>45281</v>
      </c>
      <c r="B169" t="s">
        <v>21</v>
      </c>
      <c r="C169" t="s">
        <v>26</v>
      </c>
      <c r="D169">
        <v>7</v>
      </c>
      <c r="E169">
        <v>284.7</v>
      </c>
      <c r="F169" t="s">
        <v>34</v>
      </c>
      <c r="G169" t="s">
        <v>35</v>
      </c>
      <c r="H169">
        <v>0.05</v>
      </c>
      <c r="I169" t="s">
        <v>42</v>
      </c>
      <c r="J169">
        <v>1893.2550000000001</v>
      </c>
      <c r="K169" t="s">
        <v>44</v>
      </c>
      <c r="L169" t="s">
        <v>2927</v>
      </c>
      <c r="M169">
        <v>0</v>
      </c>
      <c r="N169" t="s">
        <v>218</v>
      </c>
      <c r="O169" t="s">
        <v>1717</v>
      </c>
      <c r="P169">
        <v>5.36</v>
      </c>
      <c r="Q169" s="1">
        <v>45281</v>
      </c>
      <c r="R169" s="1">
        <v>45290</v>
      </c>
      <c r="S169" t="s">
        <v>2924</v>
      </c>
    </row>
    <row r="170" spans="1:19" x14ac:dyDescent="0.3">
      <c r="A170" s="1">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1">
        <v>45071</v>
      </c>
      <c r="R170" s="1">
        <v>45079</v>
      </c>
      <c r="S170" t="s">
        <v>2926</v>
      </c>
    </row>
    <row r="171" spans="1:19" x14ac:dyDescent="0.3">
      <c r="A171" s="1">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1">
        <v>45838</v>
      </c>
      <c r="R171" s="1">
        <v>45846</v>
      </c>
      <c r="S171" t="s">
        <v>2925</v>
      </c>
    </row>
    <row r="172" spans="1:19" x14ac:dyDescent="0.3">
      <c r="A172" s="1">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1">
        <v>45700</v>
      </c>
      <c r="R172" s="1">
        <v>45707</v>
      </c>
      <c r="S172" t="s">
        <v>2926</v>
      </c>
    </row>
    <row r="173" spans="1:19" x14ac:dyDescent="0.3">
      <c r="A173" s="1">
        <v>45294</v>
      </c>
      <c r="B173" t="s">
        <v>23</v>
      </c>
      <c r="C173" t="s">
        <v>29</v>
      </c>
      <c r="D173">
        <v>12</v>
      </c>
      <c r="E173">
        <v>164.31</v>
      </c>
      <c r="F173" t="s">
        <v>31</v>
      </c>
      <c r="G173" t="s">
        <v>35</v>
      </c>
      <c r="H173">
        <v>0.1</v>
      </c>
      <c r="I173" t="s">
        <v>37</v>
      </c>
      <c r="J173">
        <v>1774.548</v>
      </c>
      <c r="K173" t="s">
        <v>47</v>
      </c>
      <c r="L173" t="s">
        <v>2927</v>
      </c>
      <c r="M173">
        <v>1</v>
      </c>
      <c r="N173" t="s">
        <v>222</v>
      </c>
      <c r="O173" t="s">
        <v>1721</v>
      </c>
      <c r="P173">
        <v>38.9</v>
      </c>
      <c r="Q173" s="1">
        <v>45294</v>
      </c>
      <c r="R173" s="1">
        <v>45298</v>
      </c>
      <c r="S173" t="s">
        <v>2926</v>
      </c>
    </row>
    <row r="174" spans="1:19" x14ac:dyDescent="0.3">
      <c r="A174" s="1">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1">
        <v>44960</v>
      </c>
      <c r="R174" s="1">
        <v>44970</v>
      </c>
      <c r="S174" t="s">
        <v>2923</v>
      </c>
    </row>
    <row r="175" spans="1:19" x14ac:dyDescent="0.3">
      <c r="A175" s="1">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1">
        <v>45352</v>
      </c>
      <c r="R175" s="1">
        <v>45359</v>
      </c>
      <c r="S175" t="s">
        <v>2922</v>
      </c>
    </row>
    <row r="176" spans="1:19" x14ac:dyDescent="0.3">
      <c r="A176" s="1">
        <v>45070</v>
      </c>
      <c r="B176" t="s">
        <v>21</v>
      </c>
      <c r="C176" t="s">
        <v>29</v>
      </c>
      <c r="D176">
        <v>14</v>
      </c>
      <c r="E176">
        <v>207.48</v>
      </c>
      <c r="F176" t="s">
        <v>33</v>
      </c>
      <c r="G176" t="s">
        <v>35</v>
      </c>
      <c r="H176">
        <v>0.05</v>
      </c>
      <c r="I176" t="s">
        <v>37</v>
      </c>
      <c r="J176">
        <v>2759.483999999999</v>
      </c>
      <c r="K176" t="s">
        <v>43</v>
      </c>
      <c r="L176" t="s">
        <v>2927</v>
      </c>
      <c r="M176">
        <v>0</v>
      </c>
      <c r="N176" t="s">
        <v>225</v>
      </c>
      <c r="O176" t="s">
        <v>1724</v>
      </c>
      <c r="P176">
        <v>5.7</v>
      </c>
      <c r="Q176" s="1">
        <v>45070</v>
      </c>
      <c r="R176" s="1">
        <v>45079</v>
      </c>
      <c r="S176" t="s">
        <v>2924</v>
      </c>
    </row>
    <row r="177" spans="1:19" x14ac:dyDescent="0.3">
      <c r="A177" s="1">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1">
        <v>45830</v>
      </c>
      <c r="R177" s="1">
        <v>45836</v>
      </c>
      <c r="S177" t="s">
        <v>2924</v>
      </c>
    </row>
    <row r="178" spans="1:19" x14ac:dyDescent="0.3">
      <c r="A178" s="1">
        <v>45026</v>
      </c>
      <c r="B178" t="s">
        <v>21</v>
      </c>
      <c r="C178" t="s">
        <v>27</v>
      </c>
      <c r="D178">
        <v>11</v>
      </c>
      <c r="E178">
        <v>71.209999999999994</v>
      </c>
      <c r="F178" t="s">
        <v>31</v>
      </c>
      <c r="G178" t="s">
        <v>36</v>
      </c>
      <c r="H178">
        <v>0.05</v>
      </c>
      <c r="I178" t="s">
        <v>41</v>
      </c>
      <c r="J178">
        <v>744.14449999999988</v>
      </c>
      <c r="K178" t="s">
        <v>43</v>
      </c>
      <c r="L178" t="s">
        <v>2927</v>
      </c>
      <c r="M178">
        <v>1</v>
      </c>
      <c r="N178" t="s">
        <v>227</v>
      </c>
      <c r="O178" t="s">
        <v>1726</v>
      </c>
      <c r="P178">
        <v>44.2</v>
      </c>
      <c r="Q178" s="1">
        <v>45026</v>
      </c>
      <c r="R178" s="1">
        <v>45030</v>
      </c>
      <c r="S178" t="s">
        <v>2924</v>
      </c>
    </row>
    <row r="179" spans="1:19" x14ac:dyDescent="0.3">
      <c r="A179" s="1">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1">
        <v>45720</v>
      </c>
      <c r="R179" s="1">
        <v>45726</v>
      </c>
      <c r="S179" t="s">
        <v>2925</v>
      </c>
    </row>
    <row r="180" spans="1:19" x14ac:dyDescent="0.3">
      <c r="A180" s="1">
        <v>45484</v>
      </c>
      <c r="B180" t="s">
        <v>19</v>
      </c>
      <c r="C180" t="s">
        <v>24</v>
      </c>
      <c r="D180">
        <v>6</v>
      </c>
      <c r="E180">
        <v>555.03</v>
      </c>
      <c r="F180" t="s">
        <v>33</v>
      </c>
      <c r="G180" t="s">
        <v>36</v>
      </c>
      <c r="H180">
        <v>0.1</v>
      </c>
      <c r="I180" t="s">
        <v>39</v>
      </c>
      <c r="J180">
        <v>2997.1619999999998</v>
      </c>
      <c r="K180" t="s">
        <v>45</v>
      </c>
      <c r="L180" t="s">
        <v>2927</v>
      </c>
      <c r="M180">
        <v>1</v>
      </c>
      <c r="N180" t="s">
        <v>229</v>
      </c>
      <c r="O180" t="s">
        <v>1728</v>
      </c>
      <c r="P180">
        <v>23.69</v>
      </c>
      <c r="Q180" s="1">
        <v>45484</v>
      </c>
      <c r="R180" s="1">
        <v>45493</v>
      </c>
      <c r="S180" t="s">
        <v>2922</v>
      </c>
    </row>
    <row r="181" spans="1:19" x14ac:dyDescent="0.3">
      <c r="A181" s="1">
        <v>45521</v>
      </c>
      <c r="B181" t="s">
        <v>19</v>
      </c>
      <c r="C181" t="s">
        <v>26</v>
      </c>
      <c r="D181">
        <v>13</v>
      </c>
      <c r="E181">
        <v>421.08</v>
      </c>
      <c r="F181" t="s">
        <v>31</v>
      </c>
      <c r="G181" t="s">
        <v>35</v>
      </c>
      <c r="H181">
        <v>0</v>
      </c>
      <c r="I181" t="s">
        <v>42</v>
      </c>
      <c r="J181">
        <v>5474.04</v>
      </c>
      <c r="K181" t="s">
        <v>47</v>
      </c>
      <c r="L181" t="s">
        <v>2927</v>
      </c>
      <c r="M181">
        <v>0</v>
      </c>
      <c r="N181" t="s">
        <v>230</v>
      </c>
      <c r="O181" t="s">
        <v>1729</v>
      </c>
      <c r="P181">
        <v>24.51</v>
      </c>
      <c r="Q181" s="1">
        <v>45521</v>
      </c>
      <c r="R181" s="1">
        <v>45524</v>
      </c>
      <c r="S181" t="s">
        <v>2922</v>
      </c>
    </row>
    <row r="182" spans="1:19" x14ac:dyDescent="0.3">
      <c r="A182" s="1">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1">
        <v>45838</v>
      </c>
      <c r="R182" s="1">
        <v>45847</v>
      </c>
      <c r="S182" t="s">
        <v>2924</v>
      </c>
    </row>
    <row r="183" spans="1:19" x14ac:dyDescent="0.3">
      <c r="A183" s="1">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1">
        <v>45602</v>
      </c>
      <c r="R183" s="1">
        <v>45609</v>
      </c>
      <c r="S183" t="s">
        <v>2923</v>
      </c>
    </row>
    <row r="184" spans="1:19" x14ac:dyDescent="0.3">
      <c r="A184" s="1">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1">
        <v>45748</v>
      </c>
      <c r="R184" s="1">
        <v>45751</v>
      </c>
      <c r="S184" t="s">
        <v>2922</v>
      </c>
    </row>
    <row r="185" spans="1:19" x14ac:dyDescent="0.3">
      <c r="A185" s="1">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1">
        <v>45474</v>
      </c>
      <c r="R185" s="1">
        <v>45479</v>
      </c>
      <c r="S185" t="s">
        <v>2926</v>
      </c>
    </row>
    <row r="186" spans="1:19" x14ac:dyDescent="0.3">
      <c r="A186" s="1">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1">
        <v>45269</v>
      </c>
      <c r="R186" s="1">
        <v>45278</v>
      </c>
      <c r="S186" t="s">
        <v>2926</v>
      </c>
    </row>
    <row r="187" spans="1:19" x14ac:dyDescent="0.3">
      <c r="A187" s="1">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1">
        <v>45104</v>
      </c>
      <c r="R187" s="1">
        <v>45107</v>
      </c>
      <c r="S187" t="s">
        <v>2924</v>
      </c>
    </row>
    <row r="188" spans="1:19" x14ac:dyDescent="0.3">
      <c r="A188" s="1">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1">
        <v>45121</v>
      </c>
      <c r="R188" s="1">
        <v>45124</v>
      </c>
      <c r="S188" t="s">
        <v>2923</v>
      </c>
    </row>
    <row r="189" spans="1:19" x14ac:dyDescent="0.3">
      <c r="A189" s="1">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1">
        <v>44965</v>
      </c>
      <c r="R189" s="1">
        <v>44973</v>
      </c>
      <c r="S189" t="s">
        <v>2923</v>
      </c>
    </row>
    <row r="190" spans="1:19" x14ac:dyDescent="0.3">
      <c r="A190" s="1">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1">
        <v>45471</v>
      </c>
      <c r="R190" s="1">
        <v>45480</v>
      </c>
      <c r="S190" t="s">
        <v>2926</v>
      </c>
    </row>
    <row r="191" spans="1:19" x14ac:dyDescent="0.3">
      <c r="A191" s="1">
        <v>45397</v>
      </c>
      <c r="B191" t="s">
        <v>23</v>
      </c>
      <c r="C191" t="s">
        <v>24</v>
      </c>
      <c r="D191">
        <v>2</v>
      </c>
      <c r="E191">
        <v>143.43</v>
      </c>
      <c r="F191" t="s">
        <v>34</v>
      </c>
      <c r="G191" t="s">
        <v>35</v>
      </c>
      <c r="H191">
        <v>0</v>
      </c>
      <c r="I191" t="s">
        <v>42</v>
      </c>
      <c r="J191">
        <v>286.86</v>
      </c>
      <c r="K191" t="s">
        <v>45</v>
      </c>
      <c r="L191" t="s">
        <v>2927</v>
      </c>
      <c r="M191">
        <v>0</v>
      </c>
      <c r="N191" t="s">
        <v>240</v>
      </c>
      <c r="O191" t="s">
        <v>1739</v>
      </c>
      <c r="P191">
        <v>36.94</v>
      </c>
      <c r="Q191" s="1">
        <v>45397</v>
      </c>
      <c r="R191" s="1">
        <v>45404</v>
      </c>
      <c r="S191" t="s">
        <v>2926</v>
      </c>
    </row>
    <row r="192" spans="1:19" x14ac:dyDescent="0.3">
      <c r="A192" s="1">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1">
        <v>45257</v>
      </c>
      <c r="R192" s="1">
        <v>45266</v>
      </c>
      <c r="S192" t="s">
        <v>2922</v>
      </c>
    </row>
    <row r="193" spans="1:19" x14ac:dyDescent="0.3">
      <c r="A193" s="1">
        <v>45743</v>
      </c>
      <c r="B193" t="s">
        <v>19</v>
      </c>
      <c r="C193" t="s">
        <v>30</v>
      </c>
      <c r="D193">
        <v>5</v>
      </c>
      <c r="E193">
        <v>87.17</v>
      </c>
      <c r="F193" t="s">
        <v>34</v>
      </c>
      <c r="G193" t="s">
        <v>35</v>
      </c>
      <c r="H193">
        <v>0</v>
      </c>
      <c r="I193" t="s">
        <v>40</v>
      </c>
      <c r="J193">
        <v>435.85</v>
      </c>
      <c r="K193" t="s">
        <v>46</v>
      </c>
      <c r="L193" t="s">
        <v>2927</v>
      </c>
      <c r="M193">
        <v>0</v>
      </c>
      <c r="N193" t="s">
        <v>242</v>
      </c>
      <c r="O193" t="s">
        <v>1741</v>
      </c>
      <c r="P193">
        <v>13.01</v>
      </c>
      <c r="Q193" s="1">
        <v>45743</v>
      </c>
      <c r="R193" s="1">
        <v>45745</v>
      </c>
      <c r="S193" t="s">
        <v>2922</v>
      </c>
    </row>
    <row r="194" spans="1:19" x14ac:dyDescent="0.3">
      <c r="A194" s="1">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1">
        <v>45144</v>
      </c>
      <c r="R194" s="1">
        <v>45148</v>
      </c>
      <c r="S194" t="s">
        <v>2923</v>
      </c>
    </row>
    <row r="195" spans="1:19" x14ac:dyDescent="0.3">
      <c r="A195" s="1">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1">
        <v>45639</v>
      </c>
      <c r="R195" s="1">
        <v>45648</v>
      </c>
      <c r="S195" t="s">
        <v>2923</v>
      </c>
    </row>
    <row r="196" spans="1:19" x14ac:dyDescent="0.3">
      <c r="A196" s="1">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1">
        <v>45674</v>
      </c>
      <c r="R196" s="1">
        <v>45683</v>
      </c>
      <c r="S196" t="s">
        <v>2925</v>
      </c>
    </row>
    <row r="197" spans="1:19" x14ac:dyDescent="0.3">
      <c r="A197" s="1">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1">
        <v>45256</v>
      </c>
      <c r="R197" s="1">
        <v>45262</v>
      </c>
      <c r="S197" t="s">
        <v>2926</v>
      </c>
    </row>
    <row r="198" spans="1:19" x14ac:dyDescent="0.3">
      <c r="A198" s="1">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1">
        <v>44971</v>
      </c>
      <c r="R198" s="1">
        <v>44975</v>
      </c>
      <c r="S198" t="s">
        <v>2922</v>
      </c>
    </row>
    <row r="199" spans="1:19" x14ac:dyDescent="0.3">
      <c r="A199" s="1">
        <v>45690</v>
      </c>
      <c r="B199" t="s">
        <v>22</v>
      </c>
      <c r="C199" t="s">
        <v>30</v>
      </c>
      <c r="D199">
        <v>7</v>
      </c>
      <c r="E199">
        <v>248.1</v>
      </c>
      <c r="F199" t="s">
        <v>33</v>
      </c>
      <c r="G199" t="s">
        <v>36</v>
      </c>
      <c r="H199">
        <v>0</v>
      </c>
      <c r="I199" t="s">
        <v>41</v>
      </c>
      <c r="J199">
        <v>1736.7</v>
      </c>
      <c r="K199" t="s">
        <v>47</v>
      </c>
      <c r="L199" t="s">
        <v>50</v>
      </c>
      <c r="M199">
        <v>0</v>
      </c>
      <c r="N199" t="s">
        <v>248</v>
      </c>
      <c r="O199" t="s">
        <v>1747</v>
      </c>
      <c r="P199">
        <v>31.8</v>
      </c>
      <c r="Q199" s="1">
        <v>45690</v>
      </c>
      <c r="R199" s="1">
        <v>45694</v>
      </c>
      <c r="S199" t="s">
        <v>2925</v>
      </c>
    </row>
    <row r="200" spans="1:19" x14ac:dyDescent="0.3">
      <c r="A200" s="1">
        <v>45027</v>
      </c>
      <c r="B200" t="s">
        <v>23</v>
      </c>
      <c r="C200" t="s">
        <v>30</v>
      </c>
      <c r="D200">
        <v>3</v>
      </c>
      <c r="E200">
        <v>486.52</v>
      </c>
      <c r="F200" t="s">
        <v>31</v>
      </c>
      <c r="G200" t="s">
        <v>35</v>
      </c>
      <c r="H200">
        <v>0.1</v>
      </c>
      <c r="I200" t="s">
        <v>40</v>
      </c>
      <c r="J200">
        <v>1313.604</v>
      </c>
      <c r="K200" t="s">
        <v>44</v>
      </c>
      <c r="L200" t="s">
        <v>2927</v>
      </c>
      <c r="M200">
        <v>0</v>
      </c>
      <c r="N200" t="s">
        <v>249</v>
      </c>
      <c r="O200" t="s">
        <v>1748</v>
      </c>
      <c r="P200">
        <v>16.5</v>
      </c>
      <c r="Q200" s="1">
        <v>45027</v>
      </c>
      <c r="R200" s="1">
        <v>45036</v>
      </c>
      <c r="S200" t="s">
        <v>2926</v>
      </c>
    </row>
    <row r="201" spans="1:19" x14ac:dyDescent="0.3">
      <c r="A201" s="1">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1">
        <v>45481</v>
      </c>
      <c r="R201" s="1">
        <v>45486</v>
      </c>
      <c r="S201" t="s">
        <v>2924</v>
      </c>
    </row>
    <row r="202" spans="1:19" x14ac:dyDescent="0.3">
      <c r="A202" s="1">
        <v>44965</v>
      </c>
      <c r="B202" t="s">
        <v>22</v>
      </c>
      <c r="C202" t="s">
        <v>30</v>
      </c>
      <c r="D202">
        <v>19</v>
      </c>
      <c r="E202">
        <v>165.38</v>
      </c>
      <c r="F202" t="s">
        <v>31</v>
      </c>
      <c r="G202" t="s">
        <v>35</v>
      </c>
      <c r="H202">
        <v>0.15</v>
      </c>
      <c r="I202" t="s">
        <v>38</v>
      </c>
      <c r="J202">
        <v>2670.8870000000002</v>
      </c>
      <c r="K202" t="s">
        <v>43</v>
      </c>
      <c r="L202" t="s">
        <v>2927</v>
      </c>
      <c r="M202">
        <v>0</v>
      </c>
      <c r="N202" t="s">
        <v>251</v>
      </c>
      <c r="O202" t="s">
        <v>1750</v>
      </c>
      <c r="P202">
        <v>25.2</v>
      </c>
      <c r="Q202" s="1">
        <v>44965</v>
      </c>
      <c r="R202" s="1">
        <v>44971</v>
      </c>
      <c r="S202" t="s">
        <v>2925</v>
      </c>
    </row>
    <row r="203" spans="1:19" x14ac:dyDescent="0.3">
      <c r="A203" s="1">
        <v>45391</v>
      </c>
      <c r="B203" t="s">
        <v>23</v>
      </c>
      <c r="C203" t="s">
        <v>26</v>
      </c>
      <c r="D203">
        <v>2</v>
      </c>
      <c r="E203">
        <v>117.47</v>
      </c>
      <c r="F203" t="s">
        <v>33</v>
      </c>
      <c r="G203" t="s">
        <v>35</v>
      </c>
      <c r="H203">
        <v>0</v>
      </c>
      <c r="I203" t="s">
        <v>37</v>
      </c>
      <c r="J203">
        <v>234.94</v>
      </c>
      <c r="K203" t="s">
        <v>45</v>
      </c>
      <c r="L203" t="s">
        <v>48</v>
      </c>
      <c r="M203">
        <v>0</v>
      </c>
      <c r="N203" t="s">
        <v>252</v>
      </c>
      <c r="O203" t="s">
        <v>1751</v>
      </c>
      <c r="P203">
        <v>6.58</v>
      </c>
      <c r="Q203" s="1">
        <v>45391</v>
      </c>
      <c r="R203" s="1">
        <v>45398</v>
      </c>
      <c r="S203" t="s">
        <v>2926</v>
      </c>
    </row>
    <row r="204" spans="1:19" x14ac:dyDescent="0.3">
      <c r="A204" s="1">
        <v>45152</v>
      </c>
      <c r="B204" t="s">
        <v>22</v>
      </c>
      <c r="C204" t="s">
        <v>30</v>
      </c>
      <c r="D204">
        <v>9</v>
      </c>
      <c r="E204">
        <v>461.79</v>
      </c>
      <c r="F204" t="s">
        <v>33</v>
      </c>
      <c r="G204" t="s">
        <v>35</v>
      </c>
      <c r="H204">
        <v>0.15</v>
      </c>
      <c r="I204" t="s">
        <v>39</v>
      </c>
      <c r="J204">
        <v>3532.6934999999999</v>
      </c>
      <c r="K204" t="s">
        <v>44</v>
      </c>
      <c r="L204" t="s">
        <v>2927</v>
      </c>
      <c r="M204">
        <v>0</v>
      </c>
      <c r="N204" t="s">
        <v>253</v>
      </c>
      <c r="O204" t="s">
        <v>1752</v>
      </c>
      <c r="P204">
        <v>47.81</v>
      </c>
      <c r="Q204" s="1">
        <v>45152</v>
      </c>
      <c r="R204" s="1">
        <v>45156</v>
      </c>
      <c r="S204" t="s">
        <v>2925</v>
      </c>
    </row>
    <row r="205" spans="1:19" x14ac:dyDescent="0.3">
      <c r="A205" s="1">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1">
        <v>45537</v>
      </c>
      <c r="R205" s="1">
        <v>45541</v>
      </c>
      <c r="S205" t="s">
        <v>2926</v>
      </c>
    </row>
    <row r="206" spans="1:19" x14ac:dyDescent="0.3">
      <c r="A206" s="1">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1">
        <v>45837</v>
      </c>
      <c r="R206" s="1">
        <v>45842</v>
      </c>
      <c r="S206" t="s">
        <v>2925</v>
      </c>
    </row>
    <row r="207" spans="1:19" x14ac:dyDescent="0.3">
      <c r="A207" s="1">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1">
        <v>45749</v>
      </c>
      <c r="R207" s="1">
        <v>45755</v>
      </c>
      <c r="S207" t="s">
        <v>2926</v>
      </c>
    </row>
    <row r="208" spans="1:19" x14ac:dyDescent="0.3">
      <c r="A208" s="1">
        <v>45043</v>
      </c>
      <c r="B208" t="s">
        <v>22</v>
      </c>
      <c r="C208" t="s">
        <v>29</v>
      </c>
      <c r="D208">
        <v>8</v>
      </c>
      <c r="E208">
        <v>536.42999999999995</v>
      </c>
      <c r="F208" t="s">
        <v>31</v>
      </c>
      <c r="G208" t="s">
        <v>36</v>
      </c>
      <c r="H208">
        <v>0</v>
      </c>
      <c r="I208" t="s">
        <v>40</v>
      </c>
      <c r="J208">
        <v>4291.4399999999996</v>
      </c>
      <c r="K208" t="s">
        <v>47</v>
      </c>
      <c r="L208" t="s">
        <v>2927</v>
      </c>
      <c r="M208">
        <v>1</v>
      </c>
      <c r="N208" t="s">
        <v>257</v>
      </c>
      <c r="O208" t="s">
        <v>1756</v>
      </c>
      <c r="P208">
        <v>14.58</v>
      </c>
      <c r="Q208" s="1">
        <v>45043</v>
      </c>
      <c r="R208" s="1">
        <v>45053</v>
      </c>
      <c r="S208" t="s">
        <v>2925</v>
      </c>
    </row>
    <row r="209" spans="1:19" x14ac:dyDescent="0.3">
      <c r="A209" s="1">
        <v>45511</v>
      </c>
      <c r="B209" t="s">
        <v>19</v>
      </c>
      <c r="C209" t="s">
        <v>25</v>
      </c>
      <c r="D209">
        <v>1</v>
      </c>
      <c r="E209">
        <v>94.33</v>
      </c>
      <c r="F209" t="s">
        <v>32</v>
      </c>
      <c r="G209" t="s">
        <v>35</v>
      </c>
      <c r="H209">
        <v>0</v>
      </c>
      <c r="I209" t="s">
        <v>40</v>
      </c>
      <c r="J209">
        <v>94.33</v>
      </c>
      <c r="K209" t="s">
        <v>43</v>
      </c>
      <c r="L209" t="s">
        <v>2927</v>
      </c>
      <c r="M209">
        <v>0</v>
      </c>
      <c r="N209" t="s">
        <v>258</v>
      </c>
      <c r="O209" t="s">
        <v>1757</v>
      </c>
      <c r="P209">
        <v>49.17</v>
      </c>
      <c r="Q209" s="1">
        <v>45511</v>
      </c>
      <c r="R209" s="1">
        <v>45521</v>
      </c>
      <c r="S209" t="s">
        <v>2922</v>
      </c>
    </row>
    <row r="210" spans="1:19" x14ac:dyDescent="0.3">
      <c r="A210" s="1">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1">
        <v>45031</v>
      </c>
      <c r="R210" s="1">
        <v>45041</v>
      </c>
      <c r="S210" t="s">
        <v>2926</v>
      </c>
    </row>
    <row r="211" spans="1:19" x14ac:dyDescent="0.3">
      <c r="A211" s="1">
        <v>45150</v>
      </c>
      <c r="B211" t="s">
        <v>20</v>
      </c>
      <c r="C211" t="s">
        <v>26</v>
      </c>
      <c r="D211">
        <v>4</v>
      </c>
      <c r="E211">
        <v>551.71</v>
      </c>
      <c r="F211" t="s">
        <v>32</v>
      </c>
      <c r="G211" t="s">
        <v>36</v>
      </c>
      <c r="H211">
        <v>0.05</v>
      </c>
      <c r="I211" t="s">
        <v>37</v>
      </c>
      <c r="J211">
        <v>2096.498</v>
      </c>
      <c r="K211" t="s">
        <v>44</v>
      </c>
      <c r="L211" t="s">
        <v>2927</v>
      </c>
      <c r="M211">
        <v>1</v>
      </c>
      <c r="N211" t="s">
        <v>260</v>
      </c>
      <c r="O211" t="s">
        <v>1758</v>
      </c>
      <c r="P211">
        <v>26.32</v>
      </c>
      <c r="Q211" s="1">
        <v>45150</v>
      </c>
      <c r="R211" s="1">
        <v>45153</v>
      </c>
      <c r="S211" t="s">
        <v>2923</v>
      </c>
    </row>
    <row r="212" spans="1:19" x14ac:dyDescent="0.3">
      <c r="A212" s="1">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1">
        <v>45096</v>
      </c>
      <c r="R212" s="1">
        <v>45105</v>
      </c>
      <c r="S212" t="s">
        <v>2926</v>
      </c>
    </row>
    <row r="213" spans="1:19" x14ac:dyDescent="0.3">
      <c r="A213" s="1">
        <v>45289</v>
      </c>
      <c r="B213" t="s">
        <v>19</v>
      </c>
      <c r="C213" t="s">
        <v>30</v>
      </c>
      <c r="D213">
        <v>1</v>
      </c>
      <c r="E213">
        <v>180.12</v>
      </c>
      <c r="F213" t="s">
        <v>32</v>
      </c>
      <c r="G213" t="s">
        <v>35</v>
      </c>
      <c r="H213">
        <v>0.1</v>
      </c>
      <c r="I213" t="s">
        <v>37</v>
      </c>
      <c r="J213">
        <v>162.108</v>
      </c>
      <c r="K213" t="s">
        <v>46</v>
      </c>
      <c r="L213" t="s">
        <v>2927</v>
      </c>
      <c r="M213">
        <v>0</v>
      </c>
      <c r="N213" t="s">
        <v>262</v>
      </c>
      <c r="O213" t="s">
        <v>1760</v>
      </c>
      <c r="P213">
        <v>27.07</v>
      </c>
      <c r="Q213" s="1">
        <v>45289</v>
      </c>
      <c r="R213" s="1">
        <v>45298</v>
      </c>
      <c r="S213" t="s">
        <v>2922</v>
      </c>
    </row>
    <row r="214" spans="1:19" x14ac:dyDescent="0.3">
      <c r="A214" s="1">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1">
        <v>45011</v>
      </c>
      <c r="R214" s="1">
        <v>45015</v>
      </c>
      <c r="S214" t="s">
        <v>2922</v>
      </c>
    </row>
    <row r="215" spans="1:19" x14ac:dyDescent="0.3">
      <c r="A215" s="1">
        <v>45170</v>
      </c>
      <c r="B215" t="s">
        <v>20</v>
      </c>
      <c r="C215" t="s">
        <v>25</v>
      </c>
      <c r="D215">
        <v>20</v>
      </c>
      <c r="E215">
        <v>273.55</v>
      </c>
      <c r="F215" t="s">
        <v>34</v>
      </c>
      <c r="G215" t="s">
        <v>36</v>
      </c>
      <c r="H215">
        <v>0.15</v>
      </c>
      <c r="I215" t="s">
        <v>39</v>
      </c>
      <c r="J215">
        <v>4650.3499999999995</v>
      </c>
      <c r="K215" t="s">
        <v>46</v>
      </c>
      <c r="L215" t="s">
        <v>2927</v>
      </c>
      <c r="M215">
        <v>0</v>
      </c>
      <c r="N215" t="s">
        <v>264</v>
      </c>
      <c r="O215" t="s">
        <v>1762</v>
      </c>
      <c r="P215">
        <v>14.76</v>
      </c>
      <c r="Q215" s="1">
        <v>45170</v>
      </c>
      <c r="R215" s="1">
        <v>45176</v>
      </c>
      <c r="S215" t="s">
        <v>2923</v>
      </c>
    </row>
    <row r="216" spans="1:19" x14ac:dyDescent="0.3">
      <c r="A216" s="1">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1">
        <v>45509</v>
      </c>
      <c r="R216" s="1">
        <v>45517</v>
      </c>
      <c r="S216" t="s">
        <v>2926</v>
      </c>
    </row>
    <row r="217" spans="1:19" x14ac:dyDescent="0.3">
      <c r="A217" s="1">
        <v>45680</v>
      </c>
      <c r="B217" t="s">
        <v>21</v>
      </c>
      <c r="C217" t="s">
        <v>27</v>
      </c>
      <c r="D217">
        <v>16</v>
      </c>
      <c r="E217">
        <v>562.52</v>
      </c>
      <c r="F217" t="s">
        <v>34</v>
      </c>
      <c r="G217" t="s">
        <v>36</v>
      </c>
      <c r="H217">
        <v>0</v>
      </c>
      <c r="I217" t="s">
        <v>39</v>
      </c>
      <c r="J217">
        <v>9000.32</v>
      </c>
      <c r="K217" t="s">
        <v>44</v>
      </c>
      <c r="L217" t="s">
        <v>2927</v>
      </c>
      <c r="M217">
        <v>0</v>
      </c>
      <c r="N217" t="s">
        <v>266</v>
      </c>
      <c r="O217" t="s">
        <v>1764</v>
      </c>
      <c r="P217">
        <v>18.23</v>
      </c>
      <c r="Q217" s="1">
        <v>45680</v>
      </c>
      <c r="R217" s="1">
        <v>45684</v>
      </c>
      <c r="S217" t="s">
        <v>2924</v>
      </c>
    </row>
    <row r="218" spans="1:19" x14ac:dyDescent="0.3">
      <c r="A218" s="1">
        <v>45062</v>
      </c>
      <c r="B218" t="s">
        <v>19</v>
      </c>
      <c r="C218" t="s">
        <v>29</v>
      </c>
      <c r="D218">
        <v>4</v>
      </c>
      <c r="E218">
        <v>85.16</v>
      </c>
      <c r="F218" t="s">
        <v>34</v>
      </c>
      <c r="G218" t="s">
        <v>35</v>
      </c>
      <c r="H218">
        <v>0.1</v>
      </c>
      <c r="I218" t="s">
        <v>40</v>
      </c>
      <c r="J218">
        <v>306.57600000000002</v>
      </c>
      <c r="K218" t="s">
        <v>45</v>
      </c>
      <c r="L218" t="s">
        <v>2927</v>
      </c>
      <c r="M218">
        <v>0</v>
      </c>
      <c r="N218" t="s">
        <v>267</v>
      </c>
      <c r="O218" t="s">
        <v>1765</v>
      </c>
      <c r="P218">
        <v>38.51</v>
      </c>
      <c r="Q218" s="1">
        <v>45062</v>
      </c>
      <c r="R218" s="1">
        <v>45069</v>
      </c>
      <c r="S218" t="s">
        <v>2922</v>
      </c>
    </row>
    <row r="219" spans="1:19" x14ac:dyDescent="0.3">
      <c r="A219" s="1">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1">
        <v>44971</v>
      </c>
      <c r="R219" s="1">
        <v>44979</v>
      </c>
      <c r="S219" t="s">
        <v>2924</v>
      </c>
    </row>
    <row r="220" spans="1:19" x14ac:dyDescent="0.3">
      <c r="A220" s="1">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1">
        <v>45446</v>
      </c>
      <c r="R220" s="1">
        <v>45455</v>
      </c>
      <c r="S220" t="s">
        <v>2925</v>
      </c>
    </row>
    <row r="221" spans="1:19" x14ac:dyDescent="0.3">
      <c r="A221" s="1">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1">
        <v>45238</v>
      </c>
      <c r="R221" s="1">
        <v>45245</v>
      </c>
      <c r="S221" t="s">
        <v>2925</v>
      </c>
    </row>
    <row r="222" spans="1:19" x14ac:dyDescent="0.3">
      <c r="A222" s="1">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1">
        <v>44950</v>
      </c>
      <c r="R222" s="1">
        <v>44952</v>
      </c>
      <c r="S222" t="s">
        <v>2926</v>
      </c>
    </row>
    <row r="223" spans="1:19" x14ac:dyDescent="0.3">
      <c r="A223" s="1">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1">
        <v>45736</v>
      </c>
      <c r="R223" s="1">
        <v>45744</v>
      </c>
      <c r="S223" t="s">
        <v>2926</v>
      </c>
    </row>
    <row r="224" spans="1:19" x14ac:dyDescent="0.3">
      <c r="A224" s="1">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1">
        <v>45344</v>
      </c>
      <c r="R224" s="1">
        <v>45352</v>
      </c>
      <c r="S224" t="s">
        <v>2926</v>
      </c>
    </row>
    <row r="225" spans="1:19" x14ac:dyDescent="0.3">
      <c r="A225" s="1">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1">
        <v>45749</v>
      </c>
      <c r="R225" s="1">
        <v>45757</v>
      </c>
      <c r="S225" t="s">
        <v>2924</v>
      </c>
    </row>
    <row r="226" spans="1:19" x14ac:dyDescent="0.3">
      <c r="A226" s="1">
        <v>45820</v>
      </c>
      <c r="B226" t="s">
        <v>21</v>
      </c>
      <c r="C226" t="s">
        <v>27</v>
      </c>
      <c r="D226">
        <v>19</v>
      </c>
      <c r="E226">
        <v>446.25</v>
      </c>
      <c r="F226" t="s">
        <v>31</v>
      </c>
      <c r="G226" t="s">
        <v>36</v>
      </c>
      <c r="H226">
        <v>0.1</v>
      </c>
      <c r="I226" t="s">
        <v>37</v>
      </c>
      <c r="J226">
        <v>7630.875</v>
      </c>
      <c r="K226" t="s">
        <v>44</v>
      </c>
      <c r="L226" t="s">
        <v>2927</v>
      </c>
      <c r="M226">
        <v>0</v>
      </c>
      <c r="N226" t="s">
        <v>275</v>
      </c>
      <c r="O226" t="s">
        <v>1773</v>
      </c>
      <c r="P226">
        <v>14.88</v>
      </c>
      <c r="Q226" s="1">
        <v>45820</v>
      </c>
      <c r="R226" s="1">
        <v>45826</v>
      </c>
      <c r="S226" t="s">
        <v>2924</v>
      </c>
    </row>
    <row r="227" spans="1:19" x14ac:dyDescent="0.3">
      <c r="A227" s="1">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1">
        <v>45059</v>
      </c>
      <c r="R227" s="1">
        <v>45063</v>
      </c>
      <c r="S227" t="s">
        <v>2922</v>
      </c>
    </row>
    <row r="228" spans="1:19" x14ac:dyDescent="0.3">
      <c r="A228" s="1">
        <v>45010</v>
      </c>
      <c r="B228" t="s">
        <v>20</v>
      </c>
      <c r="C228" t="s">
        <v>26</v>
      </c>
      <c r="D228">
        <v>17</v>
      </c>
      <c r="E228">
        <v>339.88</v>
      </c>
      <c r="F228" t="s">
        <v>32</v>
      </c>
      <c r="G228" t="s">
        <v>36</v>
      </c>
      <c r="H228">
        <v>0</v>
      </c>
      <c r="I228" t="s">
        <v>38</v>
      </c>
      <c r="J228">
        <v>5777.96</v>
      </c>
      <c r="K228" t="s">
        <v>47</v>
      </c>
      <c r="L228" t="s">
        <v>2927</v>
      </c>
      <c r="M228">
        <v>0</v>
      </c>
      <c r="N228" t="s">
        <v>277</v>
      </c>
      <c r="O228" t="s">
        <v>1775</v>
      </c>
      <c r="P228">
        <v>44.86</v>
      </c>
      <c r="Q228" s="1">
        <v>45010</v>
      </c>
      <c r="R228" s="1">
        <v>45013</v>
      </c>
      <c r="S228" t="s">
        <v>2923</v>
      </c>
    </row>
    <row r="229" spans="1:19" x14ac:dyDescent="0.3">
      <c r="A229" s="1">
        <v>45618</v>
      </c>
      <c r="B229" t="s">
        <v>20</v>
      </c>
      <c r="C229" t="s">
        <v>30</v>
      </c>
      <c r="D229">
        <v>19</v>
      </c>
      <c r="E229">
        <v>364.32</v>
      </c>
      <c r="F229" t="s">
        <v>31</v>
      </c>
      <c r="G229" t="s">
        <v>36</v>
      </c>
      <c r="H229">
        <v>0.15</v>
      </c>
      <c r="I229" t="s">
        <v>39</v>
      </c>
      <c r="J229">
        <v>5883.768</v>
      </c>
      <c r="K229" t="s">
        <v>46</v>
      </c>
      <c r="L229" t="s">
        <v>2927</v>
      </c>
      <c r="M229">
        <v>1</v>
      </c>
      <c r="N229" t="s">
        <v>278</v>
      </c>
      <c r="O229" t="s">
        <v>1776</v>
      </c>
      <c r="P229">
        <v>39.76</v>
      </c>
      <c r="Q229" s="1">
        <v>45618</v>
      </c>
      <c r="R229" s="1">
        <v>45621</v>
      </c>
      <c r="S229" t="s">
        <v>2923</v>
      </c>
    </row>
    <row r="230" spans="1:19" x14ac:dyDescent="0.3">
      <c r="A230" s="1">
        <v>45114</v>
      </c>
      <c r="B230" t="s">
        <v>19</v>
      </c>
      <c r="C230" t="s">
        <v>29</v>
      </c>
      <c r="D230">
        <v>3</v>
      </c>
      <c r="E230">
        <v>71.91</v>
      </c>
      <c r="F230" t="s">
        <v>31</v>
      </c>
      <c r="G230" t="s">
        <v>35</v>
      </c>
      <c r="H230">
        <v>0</v>
      </c>
      <c r="I230" t="s">
        <v>38</v>
      </c>
      <c r="J230">
        <v>215.73</v>
      </c>
      <c r="K230" t="s">
        <v>44</v>
      </c>
      <c r="L230" t="s">
        <v>50</v>
      </c>
      <c r="M230">
        <v>1</v>
      </c>
      <c r="N230" t="s">
        <v>279</v>
      </c>
      <c r="O230" t="s">
        <v>1777</v>
      </c>
      <c r="P230">
        <v>46.25</v>
      </c>
      <c r="Q230" s="1">
        <v>45114</v>
      </c>
      <c r="R230" s="1">
        <v>45124</v>
      </c>
      <c r="S230" t="s">
        <v>2922</v>
      </c>
    </row>
    <row r="231" spans="1:19" x14ac:dyDescent="0.3">
      <c r="A231" s="1">
        <v>45570</v>
      </c>
      <c r="B231" t="s">
        <v>19</v>
      </c>
      <c r="C231" t="s">
        <v>29</v>
      </c>
      <c r="D231">
        <v>20</v>
      </c>
      <c r="E231">
        <v>576.29999999999995</v>
      </c>
      <c r="F231" t="s">
        <v>34</v>
      </c>
      <c r="G231" t="s">
        <v>35</v>
      </c>
      <c r="H231">
        <v>0.05</v>
      </c>
      <c r="I231" t="s">
        <v>37</v>
      </c>
      <c r="J231">
        <v>10949.7</v>
      </c>
      <c r="K231" t="s">
        <v>45</v>
      </c>
      <c r="L231" t="s">
        <v>2927</v>
      </c>
      <c r="M231">
        <v>0</v>
      </c>
      <c r="N231" t="s">
        <v>280</v>
      </c>
      <c r="O231" t="s">
        <v>1778</v>
      </c>
      <c r="P231">
        <v>25.22</v>
      </c>
      <c r="Q231" s="1">
        <v>45570</v>
      </c>
      <c r="R231" s="1">
        <v>45574</v>
      </c>
      <c r="S231" t="s">
        <v>2922</v>
      </c>
    </row>
    <row r="232" spans="1:19" x14ac:dyDescent="0.3">
      <c r="A232" s="1">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1">
        <v>45382</v>
      </c>
      <c r="R232" s="1">
        <v>45390</v>
      </c>
      <c r="S232" t="s">
        <v>2926</v>
      </c>
    </row>
    <row r="233" spans="1:19" x14ac:dyDescent="0.3">
      <c r="A233" s="1">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1">
        <v>45748</v>
      </c>
      <c r="R233" s="1">
        <v>45751</v>
      </c>
      <c r="S233" t="s">
        <v>2926</v>
      </c>
    </row>
    <row r="234" spans="1:19" x14ac:dyDescent="0.3">
      <c r="A234" s="1">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1">
        <v>45161</v>
      </c>
      <c r="R234" s="1">
        <v>45164</v>
      </c>
      <c r="S234" t="s">
        <v>2926</v>
      </c>
    </row>
    <row r="235" spans="1:19" x14ac:dyDescent="0.3">
      <c r="A235" s="1">
        <v>45518</v>
      </c>
      <c r="B235" t="s">
        <v>20</v>
      </c>
      <c r="C235" t="s">
        <v>25</v>
      </c>
      <c r="D235">
        <v>20</v>
      </c>
      <c r="E235">
        <v>14.33</v>
      </c>
      <c r="F235" t="s">
        <v>34</v>
      </c>
      <c r="G235" t="s">
        <v>35</v>
      </c>
      <c r="H235">
        <v>0.1</v>
      </c>
      <c r="I235" t="s">
        <v>40</v>
      </c>
      <c r="J235">
        <v>257.94000000000011</v>
      </c>
      <c r="K235" t="s">
        <v>46</v>
      </c>
      <c r="L235" t="s">
        <v>2927</v>
      </c>
      <c r="M235">
        <v>0</v>
      </c>
      <c r="N235" t="s">
        <v>284</v>
      </c>
      <c r="O235" t="s">
        <v>1782</v>
      </c>
      <c r="P235">
        <v>6.22</v>
      </c>
      <c r="Q235" s="1">
        <v>45518</v>
      </c>
      <c r="R235" s="1">
        <v>45525</v>
      </c>
      <c r="S235" t="s">
        <v>2923</v>
      </c>
    </row>
    <row r="236" spans="1:19" x14ac:dyDescent="0.3">
      <c r="A236" s="1">
        <v>45702</v>
      </c>
      <c r="B236" t="s">
        <v>22</v>
      </c>
      <c r="C236" t="s">
        <v>29</v>
      </c>
      <c r="D236">
        <v>18</v>
      </c>
      <c r="E236">
        <v>499.61</v>
      </c>
      <c r="F236" t="s">
        <v>31</v>
      </c>
      <c r="G236" t="s">
        <v>36</v>
      </c>
      <c r="H236">
        <v>0.15</v>
      </c>
      <c r="I236" t="s">
        <v>38</v>
      </c>
      <c r="J236">
        <v>7644.0329999999994</v>
      </c>
      <c r="K236" t="s">
        <v>46</v>
      </c>
      <c r="L236" t="s">
        <v>2927</v>
      </c>
      <c r="M236">
        <v>0</v>
      </c>
      <c r="N236" t="s">
        <v>285</v>
      </c>
      <c r="O236" t="s">
        <v>1783</v>
      </c>
      <c r="P236">
        <v>9.64</v>
      </c>
      <c r="Q236" s="1">
        <v>45702</v>
      </c>
      <c r="R236" s="1">
        <v>45707</v>
      </c>
      <c r="S236" t="s">
        <v>2925</v>
      </c>
    </row>
    <row r="237" spans="1:19" x14ac:dyDescent="0.3">
      <c r="A237" s="1">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1">
        <v>45241</v>
      </c>
      <c r="R237" s="1">
        <v>45246</v>
      </c>
      <c r="S237" t="s">
        <v>2926</v>
      </c>
    </row>
    <row r="238" spans="1:19" x14ac:dyDescent="0.3">
      <c r="A238" s="1">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1">
        <v>45383</v>
      </c>
      <c r="R238" s="1">
        <v>45391</v>
      </c>
      <c r="S238" t="s">
        <v>2925</v>
      </c>
    </row>
    <row r="239" spans="1:19" x14ac:dyDescent="0.3">
      <c r="A239" s="1">
        <v>45456</v>
      </c>
      <c r="B239" t="s">
        <v>20</v>
      </c>
      <c r="C239" t="s">
        <v>27</v>
      </c>
      <c r="D239">
        <v>5</v>
      </c>
      <c r="E239">
        <v>555.84</v>
      </c>
      <c r="F239" t="s">
        <v>33</v>
      </c>
      <c r="G239" t="s">
        <v>36</v>
      </c>
      <c r="H239">
        <v>0.05</v>
      </c>
      <c r="I239" t="s">
        <v>41</v>
      </c>
      <c r="J239">
        <v>2640.24</v>
      </c>
      <c r="K239" t="s">
        <v>45</v>
      </c>
      <c r="L239" t="s">
        <v>2927</v>
      </c>
      <c r="M239">
        <v>0</v>
      </c>
      <c r="N239" t="s">
        <v>288</v>
      </c>
      <c r="O239" t="s">
        <v>1786</v>
      </c>
      <c r="P239">
        <v>29.4</v>
      </c>
      <c r="Q239" s="1">
        <v>45456</v>
      </c>
      <c r="R239" s="1">
        <v>45463</v>
      </c>
      <c r="S239" t="s">
        <v>2923</v>
      </c>
    </row>
    <row r="240" spans="1:19" x14ac:dyDescent="0.3">
      <c r="A240" s="1">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1">
        <v>45258</v>
      </c>
      <c r="R240" s="1">
        <v>45263</v>
      </c>
      <c r="S240" t="s">
        <v>2924</v>
      </c>
    </row>
    <row r="241" spans="1:19" x14ac:dyDescent="0.3">
      <c r="A241" s="1">
        <v>45607</v>
      </c>
      <c r="B241" t="s">
        <v>22</v>
      </c>
      <c r="C241" t="s">
        <v>26</v>
      </c>
      <c r="D241">
        <v>11</v>
      </c>
      <c r="E241">
        <v>286.05</v>
      </c>
      <c r="F241" t="s">
        <v>32</v>
      </c>
      <c r="G241" t="s">
        <v>36</v>
      </c>
      <c r="H241">
        <v>0.1</v>
      </c>
      <c r="I241" t="s">
        <v>42</v>
      </c>
      <c r="J241">
        <v>2831.895</v>
      </c>
      <c r="K241" t="s">
        <v>46</v>
      </c>
      <c r="L241" t="s">
        <v>2927</v>
      </c>
      <c r="M241">
        <v>1</v>
      </c>
      <c r="N241" t="s">
        <v>290</v>
      </c>
      <c r="O241" t="s">
        <v>1788</v>
      </c>
      <c r="P241">
        <v>8.59</v>
      </c>
      <c r="Q241" s="1">
        <v>45607</v>
      </c>
      <c r="R241" s="1">
        <v>45612</v>
      </c>
      <c r="S241" t="s">
        <v>2925</v>
      </c>
    </row>
    <row r="242" spans="1:19" x14ac:dyDescent="0.3">
      <c r="A242" s="1">
        <v>45600</v>
      </c>
      <c r="B242" t="s">
        <v>21</v>
      </c>
      <c r="C242" t="s">
        <v>26</v>
      </c>
      <c r="D242">
        <v>16</v>
      </c>
      <c r="E242">
        <v>40.729999999999997</v>
      </c>
      <c r="F242" t="s">
        <v>34</v>
      </c>
      <c r="G242" t="s">
        <v>36</v>
      </c>
      <c r="H242">
        <v>0</v>
      </c>
      <c r="I242" t="s">
        <v>38</v>
      </c>
      <c r="J242">
        <v>651.67999999999995</v>
      </c>
      <c r="K242" t="s">
        <v>45</v>
      </c>
      <c r="L242" t="s">
        <v>2927</v>
      </c>
      <c r="M242">
        <v>0</v>
      </c>
      <c r="N242" t="s">
        <v>291</v>
      </c>
      <c r="O242" t="s">
        <v>1789</v>
      </c>
      <c r="P242">
        <v>24.72</v>
      </c>
      <c r="Q242" s="1">
        <v>45600</v>
      </c>
      <c r="R242" s="1">
        <v>45604</v>
      </c>
      <c r="S242" t="s">
        <v>2924</v>
      </c>
    </row>
    <row r="243" spans="1:19" x14ac:dyDescent="0.3">
      <c r="A243" s="1">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1">
        <v>44927</v>
      </c>
      <c r="R243" s="1">
        <v>44937</v>
      </c>
      <c r="S243" t="s">
        <v>2925</v>
      </c>
    </row>
    <row r="244" spans="1:19" x14ac:dyDescent="0.3">
      <c r="A244" s="1">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1">
        <v>45675</v>
      </c>
      <c r="R244" s="1">
        <v>45677</v>
      </c>
      <c r="S244" t="s">
        <v>2924</v>
      </c>
    </row>
    <row r="245" spans="1:19" x14ac:dyDescent="0.3">
      <c r="A245" s="1">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1">
        <v>45048</v>
      </c>
      <c r="R245" s="1">
        <v>45056</v>
      </c>
      <c r="S245" t="s">
        <v>2925</v>
      </c>
    </row>
    <row r="246" spans="1:19" x14ac:dyDescent="0.3">
      <c r="A246" s="1">
        <v>45804</v>
      </c>
      <c r="B246" t="s">
        <v>23</v>
      </c>
      <c r="C246" t="s">
        <v>30</v>
      </c>
      <c r="D246">
        <v>10</v>
      </c>
      <c r="E246">
        <v>351.23</v>
      </c>
      <c r="F246" t="s">
        <v>31</v>
      </c>
      <c r="G246" t="s">
        <v>36</v>
      </c>
      <c r="H246">
        <v>0.15</v>
      </c>
      <c r="I246" t="s">
        <v>39</v>
      </c>
      <c r="J246">
        <v>2985.4549999999999</v>
      </c>
      <c r="K246" t="s">
        <v>43</v>
      </c>
      <c r="L246" t="s">
        <v>2927</v>
      </c>
      <c r="M246">
        <v>0</v>
      </c>
      <c r="N246" t="s">
        <v>295</v>
      </c>
      <c r="O246" t="s">
        <v>1793</v>
      </c>
      <c r="P246">
        <v>42.74</v>
      </c>
      <c r="Q246" s="1">
        <v>45804</v>
      </c>
      <c r="R246" s="1">
        <v>45810</v>
      </c>
      <c r="S246" t="s">
        <v>2926</v>
      </c>
    </row>
    <row r="247" spans="1:19" x14ac:dyDescent="0.3">
      <c r="A247" s="1">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1">
        <v>45653</v>
      </c>
      <c r="R247" s="1">
        <v>45662</v>
      </c>
      <c r="S247" t="s">
        <v>2923</v>
      </c>
    </row>
    <row r="248" spans="1:19" x14ac:dyDescent="0.3">
      <c r="A248" s="1">
        <v>45734</v>
      </c>
      <c r="B248" t="s">
        <v>23</v>
      </c>
      <c r="C248" t="s">
        <v>27</v>
      </c>
      <c r="D248">
        <v>2</v>
      </c>
      <c r="E248">
        <v>131.13</v>
      </c>
      <c r="F248" t="s">
        <v>31</v>
      </c>
      <c r="G248" t="s">
        <v>36</v>
      </c>
      <c r="H248">
        <v>0.1</v>
      </c>
      <c r="I248" t="s">
        <v>37</v>
      </c>
      <c r="J248">
        <v>236.03399999999999</v>
      </c>
      <c r="K248" t="s">
        <v>46</v>
      </c>
      <c r="L248" t="s">
        <v>2927</v>
      </c>
      <c r="M248">
        <v>0</v>
      </c>
      <c r="N248" t="s">
        <v>297</v>
      </c>
      <c r="O248" t="s">
        <v>1795</v>
      </c>
      <c r="P248">
        <v>14.74</v>
      </c>
      <c r="Q248" s="1">
        <v>45734</v>
      </c>
      <c r="R248" s="1">
        <v>45740</v>
      </c>
      <c r="S248" t="s">
        <v>2926</v>
      </c>
    </row>
    <row r="249" spans="1:19" x14ac:dyDescent="0.3">
      <c r="A249" s="1">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1">
        <v>45375</v>
      </c>
      <c r="R249" s="1">
        <v>45382</v>
      </c>
      <c r="S249" t="s">
        <v>2922</v>
      </c>
    </row>
    <row r="250" spans="1:19" x14ac:dyDescent="0.3">
      <c r="A250" s="1">
        <v>45652</v>
      </c>
      <c r="B250" t="s">
        <v>19</v>
      </c>
      <c r="C250" t="s">
        <v>24</v>
      </c>
      <c r="D250">
        <v>6</v>
      </c>
      <c r="E250">
        <v>516.66</v>
      </c>
      <c r="F250" t="s">
        <v>33</v>
      </c>
      <c r="G250" t="s">
        <v>35</v>
      </c>
      <c r="H250">
        <v>0.05</v>
      </c>
      <c r="I250" t="s">
        <v>42</v>
      </c>
      <c r="J250">
        <v>2944.962</v>
      </c>
      <c r="K250" t="s">
        <v>43</v>
      </c>
      <c r="L250" t="s">
        <v>2927</v>
      </c>
      <c r="M250">
        <v>1</v>
      </c>
      <c r="N250" t="s">
        <v>299</v>
      </c>
      <c r="O250" t="s">
        <v>1695</v>
      </c>
      <c r="P250">
        <v>5.15</v>
      </c>
      <c r="Q250" s="1">
        <v>45652</v>
      </c>
      <c r="R250" s="1">
        <v>45660</v>
      </c>
      <c r="S250" t="s">
        <v>2922</v>
      </c>
    </row>
    <row r="251" spans="1:19" x14ac:dyDescent="0.3">
      <c r="A251" s="1">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1">
        <v>44937</v>
      </c>
      <c r="R251" s="1">
        <v>44940</v>
      </c>
      <c r="S251" t="s">
        <v>2924</v>
      </c>
    </row>
    <row r="252" spans="1:19" x14ac:dyDescent="0.3">
      <c r="A252" s="1">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1">
        <v>45809</v>
      </c>
      <c r="R252" s="1">
        <v>45818</v>
      </c>
      <c r="S252" t="s">
        <v>2923</v>
      </c>
    </row>
    <row r="253" spans="1:19" x14ac:dyDescent="0.3">
      <c r="A253" s="1">
        <v>45561</v>
      </c>
      <c r="B253" t="s">
        <v>19</v>
      </c>
      <c r="C253" t="s">
        <v>26</v>
      </c>
      <c r="D253">
        <v>11</v>
      </c>
      <c r="E253">
        <v>472.74</v>
      </c>
      <c r="F253" t="s">
        <v>34</v>
      </c>
      <c r="G253" t="s">
        <v>36</v>
      </c>
      <c r="H253">
        <v>0.15</v>
      </c>
      <c r="I253" t="s">
        <v>40</v>
      </c>
      <c r="J253">
        <v>4420.1190000000006</v>
      </c>
      <c r="K253" t="s">
        <v>45</v>
      </c>
      <c r="L253" t="s">
        <v>2927</v>
      </c>
      <c r="M253">
        <v>1</v>
      </c>
      <c r="N253" t="s">
        <v>302</v>
      </c>
      <c r="O253" t="s">
        <v>1798</v>
      </c>
      <c r="P253">
        <v>16.8</v>
      </c>
      <c r="Q253" s="1">
        <v>45561</v>
      </c>
      <c r="R253" s="1">
        <v>45566</v>
      </c>
      <c r="S253" t="s">
        <v>2922</v>
      </c>
    </row>
    <row r="254" spans="1:19" x14ac:dyDescent="0.3">
      <c r="A254" s="1">
        <v>45514</v>
      </c>
      <c r="B254" t="s">
        <v>19</v>
      </c>
      <c r="C254" t="s">
        <v>25</v>
      </c>
      <c r="D254">
        <v>20</v>
      </c>
      <c r="E254">
        <v>337.37</v>
      </c>
      <c r="F254" t="s">
        <v>33</v>
      </c>
      <c r="G254" t="s">
        <v>36</v>
      </c>
      <c r="H254">
        <v>0.1</v>
      </c>
      <c r="I254" t="s">
        <v>41</v>
      </c>
      <c r="J254">
        <v>6072.66</v>
      </c>
      <c r="K254" t="s">
        <v>44</v>
      </c>
      <c r="L254" t="s">
        <v>2927</v>
      </c>
      <c r="M254">
        <v>0</v>
      </c>
      <c r="N254" t="s">
        <v>303</v>
      </c>
      <c r="O254" t="s">
        <v>1799</v>
      </c>
      <c r="P254">
        <v>43.17</v>
      </c>
      <c r="Q254" s="1">
        <v>45514</v>
      </c>
      <c r="R254" s="1">
        <v>45521</v>
      </c>
      <c r="S254" t="s">
        <v>2922</v>
      </c>
    </row>
    <row r="255" spans="1:19" x14ac:dyDescent="0.3">
      <c r="A255" s="1">
        <v>45718</v>
      </c>
      <c r="B255" t="s">
        <v>20</v>
      </c>
      <c r="C255" t="s">
        <v>25</v>
      </c>
      <c r="D255">
        <v>12</v>
      </c>
      <c r="E255">
        <v>34.24</v>
      </c>
      <c r="F255" t="s">
        <v>33</v>
      </c>
      <c r="G255" t="s">
        <v>36</v>
      </c>
      <c r="H255">
        <v>0.1</v>
      </c>
      <c r="I255" t="s">
        <v>39</v>
      </c>
      <c r="J255">
        <v>369.79199999999997</v>
      </c>
      <c r="K255" t="s">
        <v>47</v>
      </c>
      <c r="L255" t="s">
        <v>2927</v>
      </c>
      <c r="M255">
        <v>0</v>
      </c>
      <c r="N255" t="s">
        <v>304</v>
      </c>
      <c r="O255" t="s">
        <v>1800</v>
      </c>
      <c r="P255">
        <v>17.64</v>
      </c>
      <c r="Q255" s="1">
        <v>45718</v>
      </c>
      <c r="R255" s="1">
        <v>45726</v>
      </c>
      <c r="S255" t="s">
        <v>2923</v>
      </c>
    </row>
    <row r="256" spans="1:19" x14ac:dyDescent="0.3">
      <c r="A256" s="1">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1">
        <v>44978</v>
      </c>
      <c r="R256" s="1">
        <v>44987</v>
      </c>
      <c r="S256" t="s">
        <v>2922</v>
      </c>
    </row>
    <row r="257" spans="1:19" x14ac:dyDescent="0.3">
      <c r="A257" s="1">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1">
        <v>45616</v>
      </c>
      <c r="R257" s="1">
        <v>45623</v>
      </c>
      <c r="S257" t="s">
        <v>2922</v>
      </c>
    </row>
    <row r="258" spans="1:19" x14ac:dyDescent="0.3">
      <c r="A258" s="1">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1">
        <v>45164</v>
      </c>
      <c r="R258" s="1">
        <v>45167</v>
      </c>
      <c r="S258" t="s">
        <v>2922</v>
      </c>
    </row>
    <row r="259" spans="1:19" x14ac:dyDescent="0.3">
      <c r="A259" s="1">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1">
        <v>45292</v>
      </c>
      <c r="R259" s="1">
        <v>45299</v>
      </c>
      <c r="S259" t="s">
        <v>2923</v>
      </c>
    </row>
    <row r="260" spans="1:19" x14ac:dyDescent="0.3">
      <c r="A260" s="1">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1">
        <v>45620</v>
      </c>
      <c r="R260" s="1">
        <v>45626</v>
      </c>
      <c r="S260" t="s">
        <v>2923</v>
      </c>
    </row>
    <row r="261" spans="1:19" x14ac:dyDescent="0.3">
      <c r="A261" s="1">
        <v>45529</v>
      </c>
      <c r="B261" t="s">
        <v>20</v>
      </c>
      <c r="C261" t="s">
        <v>29</v>
      </c>
      <c r="D261">
        <v>7</v>
      </c>
      <c r="E261">
        <v>50.26</v>
      </c>
      <c r="F261" t="s">
        <v>33</v>
      </c>
      <c r="G261" t="s">
        <v>36</v>
      </c>
      <c r="H261">
        <v>0.15</v>
      </c>
      <c r="I261" t="s">
        <v>41</v>
      </c>
      <c r="J261">
        <v>299.04700000000003</v>
      </c>
      <c r="K261" t="s">
        <v>47</v>
      </c>
      <c r="L261" t="s">
        <v>2927</v>
      </c>
      <c r="M261">
        <v>0</v>
      </c>
      <c r="N261" t="s">
        <v>310</v>
      </c>
      <c r="O261" t="s">
        <v>1806</v>
      </c>
      <c r="P261">
        <v>17.12</v>
      </c>
      <c r="Q261" s="1">
        <v>45529</v>
      </c>
      <c r="R261" s="1">
        <v>45536</v>
      </c>
      <c r="S261" t="s">
        <v>2923</v>
      </c>
    </row>
    <row r="262" spans="1:19" x14ac:dyDescent="0.3">
      <c r="A262" s="1">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1">
        <v>45087</v>
      </c>
      <c r="R262" s="1">
        <v>45095</v>
      </c>
      <c r="S262" t="s">
        <v>2923</v>
      </c>
    </row>
    <row r="263" spans="1:19" x14ac:dyDescent="0.3">
      <c r="A263" s="1">
        <v>45644</v>
      </c>
      <c r="B263" t="s">
        <v>21</v>
      </c>
      <c r="C263" t="s">
        <v>30</v>
      </c>
      <c r="D263">
        <v>7</v>
      </c>
      <c r="E263">
        <v>467.6</v>
      </c>
      <c r="F263" t="s">
        <v>32</v>
      </c>
      <c r="G263" t="s">
        <v>36</v>
      </c>
      <c r="H263">
        <v>0.1</v>
      </c>
      <c r="I263" t="s">
        <v>40</v>
      </c>
      <c r="J263">
        <v>2945.88</v>
      </c>
      <c r="K263" t="s">
        <v>46</v>
      </c>
      <c r="L263" t="s">
        <v>2927</v>
      </c>
      <c r="M263">
        <v>0</v>
      </c>
      <c r="N263" t="s">
        <v>312</v>
      </c>
      <c r="O263" t="s">
        <v>1808</v>
      </c>
      <c r="P263">
        <v>15.64</v>
      </c>
      <c r="Q263" s="1">
        <v>45644</v>
      </c>
      <c r="R263" s="1">
        <v>45652</v>
      </c>
      <c r="S263" t="s">
        <v>2924</v>
      </c>
    </row>
    <row r="264" spans="1:19" x14ac:dyDescent="0.3">
      <c r="A264" s="1">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1">
        <v>45166</v>
      </c>
      <c r="R264" s="1">
        <v>45170</v>
      </c>
      <c r="S264" t="s">
        <v>2922</v>
      </c>
    </row>
    <row r="265" spans="1:19" x14ac:dyDescent="0.3">
      <c r="A265" s="1">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1">
        <v>44948</v>
      </c>
      <c r="R265" s="1">
        <v>44957</v>
      </c>
      <c r="S265" t="s">
        <v>2926</v>
      </c>
    </row>
    <row r="266" spans="1:19" x14ac:dyDescent="0.3">
      <c r="A266" s="1">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1">
        <v>44964</v>
      </c>
      <c r="R266" s="1">
        <v>44971</v>
      </c>
      <c r="S266" t="s">
        <v>2924</v>
      </c>
    </row>
    <row r="267" spans="1:19" x14ac:dyDescent="0.3">
      <c r="A267" s="1">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1">
        <v>45252</v>
      </c>
      <c r="R267" s="1">
        <v>45259</v>
      </c>
      <c r="S267" t="s">
        <v>2923</v>
      </c>
    </row>
    <row r="268" spans="1:19" x14ac:dyDescent="0.3">
      <c r="A268" s="1">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1">
        <v>44951</v>
      </c>
      <c r="R268" s="1">
        <v>44955</v>
      </c>
      <c r="S268" t="s">
        <v>2926</v>
      </c>
    </row>
    <row r="269" spans="1:19" x14ac:dyDescent="0.3">
      <c r="A269" s="1">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1">
        <v>45721</v>
      </c>
      <c r="R269" s="1">
        <v>45725</v>
      </c>
      <c r="S269" t="s">
        <v>2923</v>
      </c>
    </row>
    <row r="270" spans="1:19" x14ac:dyDescent="0.3">
      <c r="A270" s="1">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1">
        <v>44959</v>
      </c>
      <c r="R270" s="1">
        <v>44969</v>
      </c>
      <c r="S270" t="s">
        <v>2924</v>
      </c>
    </row>
    <row r="271" spans="1:19" x14ac:dyDescent="0.3">
      <c r="A271" s="1">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1">
        <v>45070</v>
      </c>
      <c r="R271" s="1">
        <v>45078</v>
      </c>
      <c r="S271" t="s">
        <v>2924</v>
      </c>
    </row>
    <row r="272" spans="1:19" x14ac:dyDescent="0.3">
      <c r="A272" s="1">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1">
        <v>45442</v>
      </c>
      <c r="R272" s="1">
        <v>45449</v>
      </c>
      <c r="S272" t="s">
        <v>2923</v>
      </c>
    </row>
    <row r="273" spans="1:19" x14ac:dyDescent="0.3">
      <c r="A273" s="1">
        <v>45314</v>
      </c>
      <c r="B273" t="s">
        <v>23</v>
      </c>
      <c r="C273" t="s">
        <v>26</v>
      </c>
      <c r="D273">
        <v>15</v>
      </c>
      <c r="E273">
        <v>579.58000000000004</v>
      </c>
      <c r="F273" t="s">
        <v>33</v>
      </c>
      <c r="G273" t="s">
        <v>36</v>
      </c>
      <c r="H273">
        <v>0.15</v>
      </c>
      <c r="I273" t="s">
        <v>37</v>
      </c>
      <c r="J273">
        <v>7389.6450000000004</v>
      </c>
      <c r="K273" t="s">
        <v>45</v>
      </c>
      <c r="L273" t="s">
        <v>2927</v>
      </c>
      <c r="M273">
        <v>0</v>
      </c>
      <c r="N273" t="s">
        <v>322</v>
      </c>
      <c r="O273" t="s">
        <v>1817</v>
      </c>
      <c r="P273">
        <v>31.22</v>
      </c>
      <c r="Q273" s="1">
        <v>45314</v>
      </c>
      <c r="R273" s="1">
        <v>45322</v>
      </c>
      <c r="S273" t="s">
        <v>2926</v>
      </c>
    </row>
    <row r="274" spans="1:19" x14ac:dyDescent="0.3">
      <c r="A274" s="1">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1">
        <v>44963</v>
      </c>
      <c r="R274" s="1">
        <v>44972</v>
      </c>
      <c r="S274" t="s">
        <v>2924</v>
      </c>
    </row>
    <row r="275" spans="1:19" x14ac:dyDescent="0.3">
      <c r="A275" s="1">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1">
        <v>45488</v>
      </c>
      <c r="R275" s="1">
        <v>45492</v>
      </c>
      <c r="S275" t="s">
        <v>2926</v>
      </c>
    </row>
    <row r="276" spans="1:19" x14ac:dyDescent="0.3">
      <c r="A276" s="1">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1">
        <v>45722</v>
      </c>
      <c r="R276" s="1">
        <v>45732</v>
      </c>
      <c r="S276" t="s">
        <v>2922</v>
      </c>
    </row>
    <row r="277" spans="1:19" x14ac:dyDescent="0.3">
      <c r="A277" s="1">
        <v>45136</v>
      </c>
      <c r="B277" t="s">
        <v>22</v>
      </c>
      <c r="C277" t="s">
        <v>25</v>
      </c>
      <c r="D277">
        <v>17</v>
      </c>
      <c r="E277">
        <v>6.88</v>
      </c>
      <c r="F277" t="s">
        <v>32</v>
      </c>
      <c r="G277" t="s">
        <v>36</v>
      </c>
      <c r="H277">
        <v>0.1</v>
      </c>
      <c r="I277" t="s">
        <v>39</v>
      </c>
      <c r="J277">
        <v>105.264</v>
      </c>
      <c r="K277" t="s">
        <v>44</v>
      </c>
      <c r="L277" t="s">
        <v>2927</v>
      </c>
      <c r="M277">
        <v>0</v>
      </c>
      <c r="N277" t="s">
        <v>326</v>
      </c>
      <c r="O277" t="s">
        <v>1821</v>
      </c>
      <c r="P277">
        <v>42.37</v>
      </c>
      <c r="Q277" s="1">
        <v>45136</v>
      </c>
      <c r="R277" s="1">
        <v>45146</v>
      </c>
      <c r="S277" t="s">
        <v>2925</v>
      </c>
    </row>
    <row r="278" spans="1:19" x14ac:dyDescent="0.3">
      <c r="A278" s="1">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1">
        <v>45133</v>
      </c>
      <c r="R278" s="1">
        <v>45136</v>
      </c>
      <c r="S278" t="s">
        <v>2924</v>
      </c>
    </row>
    <row r="279" spans="1:19" x14ac:dyDescent="0.3">
      <c r="A279" s="1">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1">
        <v>45392</v>
      </c>
      <c r="R279" s="1">
        <v>45395</v>
      </c>
      <c r="S279" t="s">
        <v>2926</v>
      </c>
    </row>
    <row r="280" spans="1:19" x14ac:dyDescent="0.3">
      <c r="A280" s="1">
        <v>45681</v>
      </c>
      <c r="B280" t="s">
        <v>21</v>
      </c>
      <c r="C280" t="s">
        <v>26</v>
      </c>
      <c r="D280">
        <v>16</v>
      </c>
      <c r="E280">
        <v>60.69</v>
      </c>
      <c r="F280" t="s">
        <v>32</v>
      </c>
      <c r="G280" t="s">
        <v>35</v>
      </c>
      <c r="H280">
        <v>0</v>
      </c>
      <c r="I280" t="s">
        <v>40</v>
      </c>
      <c r="J280">
        <v>971.04</v>
      </c>
      <c r="K280" t="s">
        <v>45</v>
      </c>
      <c r="L280" t="s">
        <v>50</v>
      </c>
      <c r="M280">
        <v>0</v>
      </c>
      <c r="N280" t="s">
        <v>329</v>
      </c>
      <c r="O280" t="s">
        <v>1824</v>
      </c>
      <c r="P280">
        <v>7.03</v>
      </c>
      <c r="Q280" s="1">
        <v>45681</v>
      </c>
      <c r="R280" s="1">
        <v>45684</v>
      </c>
      <c r="S280" t="s">
        <v>2924</v>
      </c>
    </row>
    <row r="281" spans="1:19" x14ac:dyDescent="0.3">
      <c r="A281" s="1">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1">
        <v>45774</v>
      </c>
      <c r="R281" s="1">
        <v>45780</v>
      </c>
      <c r="S281" t="s">
        <v>2926</v>
      </c>
    </row>
    <row r="282" spans="1:19" x14ac:dyDescent="0.3">
      <c r="A282" s="1">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1">
        <v>45708</v>
      </c>
      <c r="R282" s="1">
        <v>45711</v>
      </c>
      <c r="S282" t="s">
        <v>2922</v>
      </c>
    </row>
    <row r="283" spans="1:19" x14ac:dyDescent="0.3">
      <c r="A283" s="1">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1">
        <v>45183</v>
      </c>
      <c r="R283" s="1">
        <v>45188</v>
      </c>
      <c r="S283" t="s">
        <v>2924</v>
      </c>
    </row>
    <row r="284" spans="1:19" x14ac:dyDescent="0.3">
      <c r="A284" s="1">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1">
        <v>45399</v>
      </c>
      <c r="R284" s="1">
        <v>45409</v>
      </c>
      <c r="S284" t="s">
        <v>2926</v>
      </c>
    </row>
    <row r="285" spans="1:19" x14ac:dyDescent="0.3">
      <c r="A285" s="1">
        <v>45610</v>
      </c>
      <c r="B285" t="s">
        <v>22</v>
      </c>
      <c r="C285" t="s">
        <v>29</v>
      </c>
      <c r="D285">
        <v>12</v>
      </c>
      <c r="E285">
        <v>561.07000000000005</v>
      </c>
      <c r="F285" t="s">
        <v>32</v>
      </c>
      <c r="G285" t="s">
        <v>36</v>
      </c>
      <c r="H285">
        <v>0</v>
      </c>
      <c r="I285" t="s">
        <v>38</v>
      </c>
      <c r="J285">
        <v>6732.84</v>
      </c>
      <c r="K285" t="s">
        <v>44</v>
      </c>
      <c r="L285" t="s">
        <v>2927</v>
      </c>
      <c r="M285">
        <v>0</v>
      </c>
      <c r="N285" t="s">
        <v>334</v>
      </c>
      <c r="O285" t="s">
        <v>1828</v>
      </c>
      <c r="P285">
        <v>35.020000000000003</v>
      </c>
      <c r="Q285" s="1">
        <v>45610</v>
      </c>
      <c r="R285" s="1">
        <v>45614</v>
      </c>
      <c r="S285" t="s">
        <v>2925</v>
      </c>
    </row>
    <row r="286" spans="1:19" x14ac:dyDescent="0.3">
      <c r="A286" s="1">
        <v>45498</v>
      </c>
      <c r="B286" t="s">
        <v>21</v>
      </c>
      <c r="C286" t="s">
        <v>27</v>
      </c>
      <c r="D286">
        <v>15</v>
      </c>
      <c r="E286">
        <v>247.21</v>
      </c>
      <c r="F286" t="s">
        <v>34</v>
      </c>
      <c r="G286" t="s">
        <v>35</v>
      </c>
      <c r="H286">
        <v>0.1</v>
      </c>
      <c r="I286" t="s">
        <v>42</v>
      </c>
      <c r="J286">
        <v>3337.335</v>
      </c>
      <c r="K286" t="s">
        <v>44</v>
      </c>
      <c r="L286" t="s">
        <v>2927</v>
      </c>
      <c r="M286">
        <v>0</v>
      </c>
      <c r="N286" t="s">
        <v>335</v>
      </c>
      <c r="O286" t="s">
        <v>1829</v>
      </c>
      <c r="P286">
        <v>45.42</v>
      </c>
      <c r="Q286" s="1">
        <v>45498</v>
      </c>
      <c r="R286" s="1">
        <v>45500</v>
      </c>
      <c r="S286" t="s">
        <v>2924</v>
      </c>
    </row>
    <row r="287" spans="1:19" x14ac:dyDescent="0.3">
      <c r="A287" s="1">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1">
        <v>45509</v>
      </c>
      <c r="R287" s="1">
        <v>45519</v>
      </c>
      <c r="S287" t="s">
        <v>2922</v>
      </c>
    </row>
    <row r="288" spans="1:19" x14ac:dyDescent="0.3">
      <c r="A288" s="1">
        <v>45680</v>
      </c>
      <c r="B288" t="s">
        <v>23</v>
      </c>
      <c r="C288" t="s">
        <v>24</v>
      </c>
      <c r="D288">
        <v>6</v>
      </c>
      <c r="E288">
        <v>532.54</v>
      </c>
      <c r="F288" t="s">
        <v>32</v>
      </c>
      <c r="G288" t="s">
        <v>35</v>
      </c>
      <c r="H288">
        <v>0</v>
      </c>
      <c r="I288" t="s">
        <v>41</v>
      </c>
      <c r="J288">
        <v>3195.24</v>
      </c>
      <c r="K288" t="s">
        <v>46</v>
      </c>
      <c r="L288" t="s">
        <v>2927</v>
      </c>
      <c r="M288">
        <v>1</v>
      </c>
      <c r="N288" t="s">
        <v>337</v>
      </c>
      <c r="O288" t="s">
        <v>1831</v>
      </c>
      <c r="P288">
        <v>25.09</v>
      </c>
      <c r="Q288" s="1">
        <v>45680</v>
      </c>
      <c r="R288" s="1">
        <v>45690</v>
      </c>
      <c r="S288" t="s">
        <v>2926</v>
      </c>
    </row>
    <row r="289" spans="1:19" x14ac:dyDescent="0.3">
      <c r="A289" s="1">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1">
        <v>45774</v>
      </c>
      <c r="R289" s="1">
        <v>45780</v>
      </c>
      <c r="S289" t="s">
        <v>2926</v>
      </c>
    </row>
    <row r="290" spans="1:19" x14ac:dyDescent="0.3">
      <c r="A290" s="1">
        <v>45555</v>
      </c>
      <c r="B290" t="s">
        <v>20</v>
      </c>
      <c r="C290" t="s">
        <v>25</v>
      </c>
      <c r="D290">
        <v>6</v>
      </c>
      <c r="E290">
        <v>170.1</v>
      </c>
      <c r="F290" t="s">
        <v>32</v>
      </c>
      <c r="G290" t="s">
        <v>36</v>
      </c>
      <c r="H290">
        <v>0</v>
      </c>
      <c r="I290" t="s">
        <v>37</v>
      </c>
      <c r="J290">
        <v>1020.6</v>
      </c>
      <c r="K290" t="s">
        <v>44</v>
      </c>
      <c r="L290" t="s">
        <v>48</v>
      </c>
      <c r="M290">
        <v>0</v>
      </c>
      <c r="N290" t="s">
        <v>339</v>
      </c>
      <c r="O290" t="s">
        <v>1833</v>
      </c>
      <c r="P290">
        <v>38.61</v>
      </c>
      <c r="Q290" s="1">
        <v>45555</v>
      </c>
      <c r="R290" s="1">
        <v>45558</v>
      </c>
      <c r="S290" t="s">
        <v>2923</v>
      </c>
    </row>
    <row r="291" spans="1:19" x14ac:dyDescent="0.3">
      <c r="A291" s="1">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1">
        <v>45177</v>
      </c>
      <c r="R291" s="1">
        <v>45184</v>
      </c>
      <c r="S291" t="s">
        <v>2926</v>
      </c>
    </row>
    <row r="292" spans="1:19" x14ac:dyDescent="0.3">
      <c r="A292" s="1">
        <v>45767</v>
      </c>
      <c r="B292" t="s">
        <v>20</v>
      </c>
      <c r="C292" t="s">
        <v>24</v>
      </c>
      <c r="D292">
        <v>5</v>
      </c>
      <c r="E292">
        <v>578.91999999999996</v>
      </c>
      <c r="F292" t="s">
        <v>32</v>
      </c>
      <c r="G292" t="s">
        <v>35</v>
      </c>
      <c r="H292">
        <v>0</v>
      </c>
      <c r="I292" t="s">
        <v>42</v>
      </c>
      <c r="J292">
        <v>2894.6</v>
      </c>
      <c r="K292" t="s">
        <v>45</v>
      </c>
      <c r="L292" t="s">
        <v>2927</v>
      </c>
      <c r="M292">
        <v>1</v>
      </c>
      <c r="N292" t="s">
        <v>341</v>
      </c>
      <c r="O292" t="s">
        <v>1835</v>
      </c>
      <c r="P292">
        <v>44.09</v>
      </c>
      <c r="Q292" s="1">
        <v>45767</v>
      </c>
      <c r="R292" s="1">
        <v>45775</v>
      </c>
      <c r="S292" t="s">
        <v>2923</v>
      </c>
    </row>
    <row r="293" spans="1:19" x14ac:dyDescent="0.3">
      <c r="A293" s="1">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1">
        <v>45463</v>
      </c>
      <c r="R293" s="1">
        <v>45470</v>
      </c>
      <c r="S293" t="s">
        <v>2924</v>
      </c>
    </row>
    <row r="294" spans="1:19" x14ac:dyDescent="0.3">
      <c r="A294" s="1">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1">
        <v>44937</v>
      </c>
      <c r="R294" s="1">
        <v>44946</v>
      </c>
      <c r="S294" t="s">
        <v>2922</v>
      </c>
    </row>
    <row r="295" spans="1:19" x14ac:dyDescent="0.3">
      <c r="A295" s="1">
        <v>45111</v>
      </c>
      <c r="B295" t="s">
        <v>21</v>
      </c>
      <c r="C295" t="s">
        <v>26</v>
      </c>
      <c r="D295">
        <v>17</v>
      </c>
      <c r="E295">
        <v>468.19</v>
      </c>
      <c r="F295" t="s">
        <v>34</v>
      </c>
      <c r="G295" t="s">
        <v>36</v>
      </c>
      <c r="H295">
        <v>0.05</v>
      </c>
      <c r="I295" t="s">
        <v>41</v>
      </c>
      <c r="J295">
        <v>7561.2684999999992</v>
      </c>
      <c r="K295" t="s">
        <v>47</v>
      </c>
      <c r="L295" t="s">
        <v>2927</v>
      </c>
      <c r="M295">
        <v>0</v>
      </c>
      <c r="N295" t="s">
        <v>344</v>
      </c>
      <c r="O295" t="s">
        <v>1838</v>
      </c>
      <c r="P295">
        <v>13.84</v>
      </c>
      <c r="Q295" s="1">
        <v>45111</v>
      </c>
      <c r="R295" s="1">
        <v>45114</v>
      </c>
      <c r="S295" t="s">
        <v>2924</v>
      </c>
    </row>
    <row r="296" spans="1:19" x14ac:dyDescent="0.3">
      <c r="A296" s="1">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1">
        <v>45724</v>
      </c>
      <c r="R296" s="1">
        <v>45734</v>
      </c>
      <c r="S296" t="s">
        <v>2925</v>
      </c>
    </row>
    <row r="297" spans="1:19" x14ac:dyDescent="0.3">
      <c r="A297" s="1">
        <v>45698</v>
      </c>
      <c r="B297" t="s">
        <v>20</v>
      </c>
      <c r="C297" t="s">
        <v>27</v>
      </c>
      <c r="D297">
        <v>6</v>
      </c>
      <c r="E297">
        <v>521.1</v>
      </c>
      <c r="F297" t="s">
        <v>32</v>
      </c>
      <c r="G297" t="s">
        <v>35</v>
      </c>
      <c r="H297">
        <v>0.15</v>
      </c>
      <c r="I297" t="s">
        <v>39</v>
      </c>
      <c r="J297">
        <v>2657.61</v>
      </c>
      <c r="K297" t="s">
        <v>47</v>
      </c>
      <c r="L297" t="s">
        <v>2927</v>
      </c>
      <c r="M297">
        <v>0</v>
      </c>
      <c r="N297" t="s">
        <v>346</v>
      </c>
      <c r="O297" t="s">
        <v>1840</v>
      </c>
      <c r="P297">
        <v>31.14</v>
      </c>
      <c r="Q297" s="1">
        <v>45698</v>
      </c>
      <c r="R297" s="1">
        <v>45700</v>
      </c>
      <c r="S297" t="s">
        <v>2923</v>
      </c>
    </row>
    <row r="298" spans="1:19" x14ac:dyDescent="0.3">
      <c r="A298" s="1">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1">
        <v>45733</v>
      </c>
      <c r="R298" s="1">
        <v>45737</v>
      </c>
      <c r="S298" t="s">
        <v>2926</v>
      </c>
    </row>
    <row r="299" spans="1:19" x14ac:dyDescent="0.3">
      <c r="A299" s="1">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1">
        <v>45239</v>
      </c>
      <c r="R299" s="1">
        <v>45245</v>
      </c>
      <c r="S299" t="s">
        <v>2922</v>
      </c>
    </row>
    <row r="300" spans="1:19" x14ac:dyDescent="0.3">
      <c r="A300" s="1">
        <v>45260</v>
      </c>
      <c r="B300" t="s">
        <v>22</v>
      </c>
      <c r="C300" t="s">
        <v>30</v>
      </c>
      <c r="D300">
        <v>15</v>
      </c>
      <c r="E300">
        <v>354.09</v>
      </c>
      <c r="F300" t="s">
        <v>31</v>
      </c>
      <c r="G300" t="s">
        <v>36</v>
      </c>
      <c r="H300">
        <v>0.05</v>
      </c>
      <c r="I300" t="s">
        <v>40</v>
      </c>
      <c r="J300">
        <v>5045.7824999999993</v>
      </c>
      <c r="K300" t="s">
        <v>43</v>
      </c>
      <c r="L300" t="s">
        <v>2927</v>
      </c>
      <c r="M300">
        <v>1</v>
      </c>
      <c r="N300" t="s">
        <v>349</v>
      </c>
      <c r="O300" t="s">
        <v>1843</v>
      </c>
      <c r="P300">
        <v>25.3</v>
      </c>
      <c r="Q300" s="1">
        <v>45260</v>
      </c>
      <c r="R300" s="1">
        <v>45268</v>
      </c>
      <c r="S300" t="s">
        <v>2925</v>
      </c>
    </row>
    <row r="301" spans="1:19" x14ac:dyDescent="0.3">
      <c r="A301" s="1">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1">
        <v>45519</v>
      </c>
      <c r="R301" s="1">
        <v>45524</v>
      </c>
      <c r="S301" t="s">
        <v>2923</v>
      </c>
    </row>
    <row r="302" spans="1:19" x14ac:dyDescent="0.3">
      <c r="A302" s="1">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1">
        <v>45006</v>
      </c>
      <c r="R302" s="1">
        <v>45011</v>
      </c>
      <c r="S302" t="s">
        <v>2926</v>
      </c>
    </row>
    <row r="303" spans="1:19" x14ac:dyDescent="0.3">
      <c r="A303" s="1">
        <v>45225</v>
      </c>
      <c r="B303" t="s">
        <v>23</v>
      </c>
      <c r="C303" t="s">
        <v>28</v>
      </c>
      <c r="D303">
        <v>2</v>
      </c>
      <c r="E303">
        <v>124.4</v>
      </c>
      <c r="F303" t="s">
        <v>31</v>
      </c>
      <c r="G303" t="s">
        <v>36</v>
      </c>
      <c r="H303">
        <v>0</v>
      </c>
      <c r="I303" t="s">
        <v>37</v>
      </c>
      <c r="J303">
        <v>248.8</v>
      </c>
      <c r="K303" t="s">
        <v>43</v>
      </c>
      <c r="L303" t="s">
        <v>2927</v>
      </c>
      <c r="M303">
        <v>0</v>
      </c>
      <c r="N303" t="s">
        <v>352</v>
      </c>
      <c r="O303" t="s">
        <v>1846</v>
      </c>
      <c r="P303">
        <v>37.049999999999997</v>
      </c>
      <c r="Q303" s="1">
        <v>45225</v>
      </c>
      <c r="R303" s="1">
        <v>45230</v>
      </c>
      <c r="S303" t="s">
        <v>2926</v>
      </c>
    </row>
    <row r="304" spans="1:19" x14ac:dyDescent="0.3">
      <c r="A304" s="1">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1">
        <v>45233</v>
      </c>
      <c r="R304" s="1">
        <v>45241</v>
      </c>
      <c r="S304" t="s">
        <v>2926</v>
      </c>
    </row>
    <row r="305" spans="1:19" x14ac:dyDescent="0.3">
      <c r="A305" s="1">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1">
        <v>45687</v>
      </c>
      <c r="R305" s="1">
        <v>45693</v>
      </c>
      <c r="S305" t="s">
        <v>2924</v>
      </c>
    </row>
    <row r="306" spans="1:19" x14ac:dyDescent="0.3">
      <c r="A306" s="1">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1">
        <v>45316</v>
      </c>
      <c r="R306" s="1">
        <v>45325</v>
      </c>
      <c r="S306" t="s">
        <v>2926</v>
      </c>
    </row>
    <row r="307" spans="1:19" x14ac:dyDescent="0.3">
      <c r="A307" s="1">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1">
        <v>45745</v>
      </c>
      <c r="R307" s="1">
        <v>45749</v>
      </c>
      <c r="S307" t="s">
        <v>2923</v>
      </c>
    </row>
    <row r="308" spans="1:19" x14ac:dyDescent="0.3">
      <c r="A308" s="1">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1">
        <v>45598</v>
      </c>
      <c r="R308" s="1">
        <v>45605</v>
      </c>
      <c r="S308" t="s">
        <v>2925</v>
      </c>
    </row>
    <row r="309" spans="1:19" x14ac:dyDescent="0.3">
      <c r="A309" s="1">
        <v>45473</v>
      </c>
      <c r="B309" t="s">
        <v>22</v>
      </c>
      <c r="C309" t="s">
        <v>27</v>
      </c>
      <c r="D309">
        <v>11</v>
      </c>
      <c r="E309">
        <v>535.37</v>
      </c>
      <c r="F309" t="s">
        <v>34</v>
      </c>
      <c r="G309" t="s">
        <v>35</v>
      </c>
      <c r="H309">
        <v>0</v>
      </c>
      <c r="I309" t="s">
        <v>39</v>
      </c>
      <c r="J309">
        <v>5889.07</v>
      </c>
      <c r="K309" t="s">
        <v>47</v>
      </c>
      <c r="L309" t="s">
        <v>2927</v>
      </c>
      <c r="M309">
        <v>0</v>
      </c>
      <c r="N309" t="s">
        <v>358</v>
      </c>
      <c r="O309" t="s">
        <v>1852</v>
      </c>
      <c r="P309">
        <v>35.96</v>
      </c>
      <c r="Q309" s="1">
        <v>45473</v>
      </c>
      <c r="R309" s="1">
        <v>45482</v>
      </c>
      <c r="S309" t="s">
        <v>2925</v>
      </c>
    </row>
    <row r="310" spans="1:19" x14ac:dyDescent="0.3">
      <c r="A310" s="1">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1">
        <v>44937</v>
      </c>
      <c r="R310" s="1">
        <v>44945</v>
      </c>
      <c r="S310" t="s">
        <v>2923</v>
      </c>
    </row>
    <row r="311" spans="1:19" x14ac:dyDescent="0.3">
      <c r="A311" s="1">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1">
        <v>45813</v>
      </c>
      <c r="R311" s="1">
        <v>45822</v>
      </c>
      <c r="S311" t="s">
        <v>2924</v>
      </c>
    </row>
    <row r="312" spans="1:19" x14ac:dyDescent="0.3">
      <c r="A312" s="1">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1">
        <v>45372</v>
      </c>
      <c r="R312" s="1">
        <v>45375</v>
      </c>
      <c r="S312" t="s">
        <v>2924</v>
      </c>
    </row>
    <row r="313" spans="1:19" x14ac:dyDescent="0.3">
      <c r="A313" s="1">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1">
        <v>45169</v>
      </c>
      <c r="R313" s="1">
        <v>45177</v>
      </c>
      <c r="S313" t="s">
        <v>2923</v>
      </c>
    </row>
    <row r="314" spans="1:19" x14ac:dyDescent="0.3">
      <c r="A314" s="1">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1">
        <v>45572</v>
      </c>
      <c r="R314" s="1">
        <v>45582</v>
      </c>
      <c r="S314" t="s">
        <v>2923</v>
      </c>
    </row>
    <row r="315" spans="1:19" x14ac:dyDescent="0.3">
      <c r="A315" s="1">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1">
        <v>45028</v>
      </c>
      <c r="R315" s="1">
        <v>45031</v>
      </c>
      <c r="S315" t="s">
        <v>2924</v>
      </c>
    </row>
    <row r="316" spans="1:19" x14ac:dyDescent="0.3">
      <c r="A316" s="1">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1">
        <v>45236</v>
      </c>
      <c r="R316" s="1">
        <v>45246</v>
      </c>
      <c r="S316" t="s">
        <v>2923</v>
      </c>
    </row>
    <row r="317" spans="1:19" x14ac:dyDescent="0.3">
      <c r="A317" s="1">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1">
        <v>45044</v>
      </c>
      <c r="R317" s="1">
        <v>45054</v>
      </c>
      <c r="S317" t="s">
        <v>2926</v>
      </c>
    </row>
    <row r="318" spans="1:19" x14ac:dyDescent="0.3">
      <c r="A318" s="1">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1">
        <v>45278</v>
      </c>
      <c r="R318" s="1">
        <v>45281</v>
      </c>
      <c r="S318" t="s">
        <v>2926</v>
      </c>
    </row>
    <row r="319" spans="1:19" x14ac:dyDescent="0.3">
      <c r="A319" s="1">
        <v>45575</v>
      </c>
      <c r="B319" t="s">
        <v>20</v>
      </c>
      <c r="C319" t="s">
        <v>25</v>
      </c>
      <c r="D319">
        <v>13</v>
      </c>
      <c r="E319">
        <v>114.03</v>
      </c>
      <c r="F319" t="s">
        <v>32</v>
      </c>
      <c r="G319" t="s">
        <v>36</v>
      </c>
      <c r="H319">
        <v>0</v>
      </c>
      <c r="I319" t="s">
        <v>42</v>
      </c>
      <c r="J319">
        <v>1482.39</v>
      </c>
      <c r="K319" t="s">
        <v>47</v>
      </c>
      <c r="L319" t="s">
        <v>2927</v>
      </c>
      <c r="M319">
        <v>0</v>
      </c>
      <c r="N319" t="s">
        <v>368</v>
      </c>
      <c r="O319" t="s">
        <v>1862</v>
      </c>
      <c r="P319">
        <v>43.81</v>
      </c>
      <c r="Q319" s="1">
        <v>45575</v>
      </c>
      <c r="R319" s="1">
        <v>45581</v>
      </c>
      <c r="S319" t="s">
        <v>2923</v>
      </c>
    </row>
    <row r="320" spans="1:19" x14ac:dyDescent="0.3">
      <c r="A320" s="1">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1">
        <v>44962</v>
      </c>
      <c r="R320" s="1">
        <v>44964</v>
      </c>
      <c r="S320" t="s">
        <v>2924</v>
      </c>
    </row>
    <row r="321" spans="1:19" x14ac:dyDescent="0.3">
      <c r="A321" s="1">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1">
        <v>45508</v>
      </c>
      <c r="R321" s="1">
        <v>45518</v>
      </c>
      <c r="S321" t="s">
        <v>2925</v>
      </c>
    </row>
    <row r="322" spans="1:19" x14ac:dyDescent="0.3">
      <c r="A322" s="1">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1">
        <v>45588</v>
      </c>
      <c r="R322" s="1">
        <v>45597</v>
      </c>
      <c r="S322" t="s">
        <v>2925</v>
      </c>
    </row>
    <row r="323" spans="1:19" x14ac:dyDescent="0.3">
      <c r="A323" s="1">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1">
        <v>45335</v>
      </c>
      <c r="R323" s="1">
        <v>45342</v>
      </c>
      <c r="S323" t="s">
        <v>2926</v>
      </c>
    </row>
    <row r="324" spans="1:19" x14ac:dyDescent="0.3">
      <c r="A324" s="1">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1">
        <v>45446</v>
      </c>
      <c r="R324" s="1">
        <v>45450</v>
      </c>
      <c r="S324" t="s">
        <v>2923</v>
      </c>
    </row>
    <row r="325" spans="1:19" x14ac:dyDescent="0.3">
      <c r="A325" s="1">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1">
        <v>45030</v>
      </c>
      <c r="R325" s="1">
        <v>45034</v>
      </c>
      <c r="S325" t="s">
        <v>2923</v>
      </c>
    </row>
    <row r="326" spans="1:19" x14ac:dyDescent="0.3">
      <c r="A326" s="1">
        <v>45584</v>
      </c>
      <c r="B326" t="s">
        <v>22</v>
      </c>
      <c r="C326" t="s">
        <v>24</v>
      </c>
      <c r="D326">
        <v>16</v>
      </c>
      <c r="E326">
        <v>436.31</v>
      </c>
      <c r="F326" t="s">
        <v>33</v>
      </c>
      <c r="G326" t="s">
        <v>36</v>
      </c>
      <c r="H326">
        <v>0.05</v>
      </c>
      <c r="I326" t="s">
        <v>41</v>
      </c>
      <c r="J326">
        <v>6631.9119999999994</v>
      </c>
      <c r="K326" t="s">
        <v>43</v>
      </c>
      <c r="L326" t="s">
        <v>2927</v>
      </c>
      <c r="M326">
        <v>0</v>
      </c>
      <c r="N326" t="s">
        <v>375</v>
      </c>
      <c r="O326" t="s">
        <v>1869</v>
      </c>
      <c r="P326">
        <v>47.61</v>
      </c>
      <c r="Q326" s="1">
        <v>45584</v>
      </c>
      <c r="R326" s="1">
        <v>45588</v>
      </c>
      <c r="S326" t="s">
        <v>2925</v>
      </c>
    </row>
    <row r="327" spans="1:19" x14ac:dyDescent="0.3">
      <c r="A327" s="1">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1">
        <v>45278</v>
      </c>
      <c r="R327" s="1">
        <v>45282</v>
      </c>
      <c r="S327" t="s">
        <v>2923</v>
      </c>
    </row>
    <row r="328" spans="1:19" x14ac:dyDescent="0.3">
      <c r="A328" s="1">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1">
        <v>45169</v>
      </c>
      <c r="R328" s="1">
        <v>45175</v>
      </c>
      <c r="S328" t="s">
        <v>2924</v>
      </c>
    </row>
    <row r="329" spans="1:19" x14ac:dyDescent="0.3">
      <c r="A329" s="1">
        <v>45188</v>
      </c>
      <c r="B329" t="s">
        <v>20</v>
      </c>
      <c r="C329" t="s">
        <v>24</v>
      </c>
      <c r="D329">
        <v>4</v>
      </c>
      <c r="E329">
        <v>547.55999999999995</v>
      </c>
      <c r="F329" t="s">
        <v>34</v>
      </c>
      <c r="G329" t="s">
        <v>36</v>
      </c>
      <c r="H329">
        <v>0.15</v>
      </c>
      <c r="I329" t="s">
        <v>39</v>
      </c>
      <c r="J329">
        <v>1861.704</v>
      </c>
      <c r="K329" t="s">
        <v>44</v>
      </c>
      <c r="L329" t="s">
        <v>2927</v>
      </c>
      <c r="M329">
        <v>0</v>
      </c>
      <c r="N329" t="s">
        <v>378</v>
      </c>
      <c r="O329" t="s">
        <v>1872</v>
      </c>
      <c r="P329">
        <v>25.88</v>
      </c>
      <c r="Q329" s="1">
        <v>45188</v>
      </c>
      <c r="R329" s="1">
        <v>45195</v>
      </c>
      <c r="S329" t="s">
        <v>2923</v>
      </c>
    </row>
    <row r="330" spans="1:19" x14ac:dyDescent="0.3">
      <c r="A330" s="1">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1">
        <v>44984</v>
      </c>
      <c r="R330" s="1">
        <v>44989</v>
      </c>
      <c r="S330" t="s">
        <v>2925</v>
      </c>
    </row>
    <row r="331" spans="1:19" x14ac:dyDescent="0.3">
      <c r="A331" s="1">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1">
        <v>45319</v>
      </c>
      <c r="R331" s="1">
        <v>45322</v>
      </c>
      <c r="S331" t="s">
        <v>2923</v>
      </c>
    </row>
    <row r="332" spans="1:19" x14ac:dyDescent="0.3">
      <c r="A332" s="1">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1">
        <v>45783</v>
      </c>
      <c r="R332" s="1">
        <v>45787</v>
      </c>
      <c r="S332" t="s">
        <v>2923</v>
      </c>
    </row>
    <row r="333" spans="1:19" x14ac:dyDescent="0.3">
      <c r="A333" s="1">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1">
        <v>45548</v>
      </c>
      <c r="R333" s="1">
        <v>45550</v>
      </c>
      <c r="S333" t="s">
        <v>2922</v>
      </c>
    </row>
    <row r="334" spans="1:19" x14ac:dyDescent="0.3">
      <c r="A334" s="1">
        <v>45071</v>
      </c>
      <c r="B334" t="s">
        <v>19</v>
      </c>
      <c r="C334" t="s">
        <v>30</v>
      </c>
      <c r="D334">
        <v>13</v>
      </c>
      <c r="E334">
        <v>211.06</v>
      </c>
      <c r="F334" t="s">
        <v>31</v>
      </c>
      <c r="G334" t="s">
        <v>36</v>
      </c>
      <c r="H334">
        <v>0.1</v>
      </c>
      <c r="I334" t="s">
        <v>42</v>
      </c>
      <c r="J334">
        <v>2469.402</v>
      </c>
      <c r="K334" t="s">
        <v>44</v>
      </c>
      <c r="L334" t="s">
        <v>2927</v>
      </c>
      <c r="M334">
        <v>1</v>
      </c>
      <c r="N334" t="s">
        <v>383</v>
      </c>
      <c r="O334" t="s">
        <v>1877</v>
      </c>
      <c r="P334">
        <v>19.579999999999998</v>
      </c>
      <c r="Q334" s="1">
        <v>45071</v>
      </c>
      <c r="R334" s="1">
        <v>45075</v>
      </c>
      <c r="S334" t="s">
        <v>2922</v>
      </c>
    </row>
    <row r="335" spans="1:19" x14ac:dyDescent="0.3">
      <c r="A335" s="1">
        <v>45561</v>
      </c>
      <c r="B335" t="s">
        <v>20</v>
      </c>
      <c r="C335" t="s">
        <v>29</v>
      </c>
      <c r="D335">
        <v>7</v>
      </c>
      <c r="E335">
        <v>88.87</v>
      </c>
      <c r="F335" t="s">
        <v>33</v>
      </c>
      <c r="G335" t="s">
        <v>36</v>
      </c>
      <c r="H335">
        <v>0</v>
      </c>
      <c r="I335" t="s">
        <v>38</v>
      </c>
      <c r="J335">
        <v>622.09</v>
      </c>
      <c r="K335" t="s">
        <v>43</v>
      </c>
      <c r="L335" t="s">
        <v>49</v>
      </c>
      <c r="M335">
        <v>0</v>
      </c>
      <c r="N335" t="s">
        <v>384</v>
      </c>
      <c r="O335" t="s">
        <v>1878</v>
      </c>
      <c r="P335">
        <v>8.36</v>
      </c>
      <c r="Q335" s="1">
        <v>45561</v>
      </c>
      <c r="R335" s="1">
        <v>45566</v>
      </c>
      <c r="S335" t="s">
        <v>2923</v>
      </c>
    </row>
    <row r="336" spans="1:19" x14ac:dyDescent="0.3">
      <c r="A336" s="1">
        <v>44970</v>
      </c>
      <c r="B336" t="s">
        <v>20</v>
      </c>
      <c r="C336" t="s">
        <v>25</v>
      </c>
      <c r="D336">
        <v>5</v>
      </c>
      <c r="E336">
        <v>254.24</v>
      </c>
      <c r="F336" t="s">
        <v>31</v>
      </c>
      <c r="G336" t="s">
        <v>35</v>
      </c>
      <c r="H336">
        <v>0.05</v>
      </c>
      <c r="I336" t="s">
        <v>42</v>
      </c>
      <c r="J336">
        <v>1207.6400000000001</v>
      </c>
      <c r="K336" t="s">
        <v>43</v>
      </c>
      <c r="L336" t="s">
        <v>2927</v>
      </c>
      <c r="M336">
        <v>0</v>
      </c>
      <c r="N336" t="s">
        <v>385</v>
      </c>
      <c r="O336" t="s">
        <v>1879</v>
      </c>
      <c r="P336">
        <v>9.9700000000000006</v>
      </c>
      <c r="Q336" s="1">
        <v>44970</v>
      </c>
      <c r="R336" s="1">
        <v>44975</v>
      </c>
      <c r="S336" t="s">
        <v>2923</v>
      </c>
    </row>
    <row r="337" spans="1:19" x14ac:dyDescent="0.3">
      <c r="A337" s="1">
        <v>45463</v>
      </c>
      <c r="B337" t="s">
        <v>22</v>
      </c>
      <c r="C337" t="s">
        <v>27</v>
      </c>
      <c r="D337">
        <v>5</v>
      </c>
      <c r="E337">
        <v>432.35</v>
      </c>
      <c r="F337" t="s">
        <v>33</v>
      </c>
      <c r="G337" t="s">
        <v>35</v>
      </c>
      <c r="H337">
        <v>0.1</v>
      </c>
      <c r="I337" t="s">
        <v>42</v>
      </c>
      <c r="J337">
        <v>1945.575</v>
      </c>
      <c r="K337" t="s">
        <v>44</v>
      </c>
      <c r="L337" t="s">
        <v>2927</v>
      </c>
      <c r="M337">
        <v>1</v>
      </c>
      <c r="N337" t="s">
        <v>386</v>
      </c>
      <c r="O337" t="s">
        <v>1880</v>
      </c>
      <c r="P337">
        <v>41.48</v>
      </c>
      <c r="Q337" s="1">
        <v>45463</v>
      </c>
      <c r="R337" s="1">
        <v>45470</v>
      </c>
      <c r="S337" t="s">
        <v>2925</v>
      </c>
    </row>
    <row r="338" spans="1:19" x14ac:dyDescent="0.3">
      <c r="A338" s="1">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1">
        <v>45373</v>
      </c>
      <c r="R338" s="1">
        <v>45376</v>
      </c>
      <c r="S338" t="s">
        <v>2926</v>
      </c>
    </row>
    <row r="339" spans="1:19" x14ac:dyDescent="0.3">
      <c r="A339" s="1">
        <v>45330</v>
      </c>
      <c r="B339" t="s">
        <v>23</v>
      </c>
      <c r="C339" t="s">
        <v>28</v>
      </c>
      <c r="D339">
        <v>11</v>
      </c>
      <c r="E339">
        <v>151.25</v>
      </c>
      <c r="F339" t="s">
        <v>31</v>
      </c>
      <c r="G339" t="s">
        <v>35</v>
      </c>
      <c r="H339">
        <v>0.1</v>
      </c>
      <c r="I339" t="s">
        <v>39</v>
      </c>
      <c r="J339">
        <v>1497.375</v>
      </c>
      <c r="K339" t="s">
        <v>45</v>
      </c>
      <c r="L339" t="s">
        <v>2927</v>
      </c>
      <c r="M339">
        <v>1</v>
      </c>
      <c r="N339" t="s">
        <v>388</v>
      </c>
      <c r="O339" t="s">
        <v>1882</v>
      </c>
      <c r="P339">
        <v>22.65</v>
      </c>
      <c r="Q339" s="1">
        <v>45330</v>
      </c>
      <c r="R339" s="1">
        <v>45333</v>
      </c>
      <c r="S339" t="s">
        <v>2926</v>
      </c>
    </row>
    <row r="340" spans="1:19" x14ac:dyDescent="0.3">
      <c r="A340" s="1">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1">
        <v>45444</v>
      </c>
      <c r="R340" s="1">
        <v>45447</v>
      </c>
      <c r="S340" t="s">
        <v>2922</v>
      </c>
    </row>
    <row r="341" spans="1:19" x14ac:dyDescent="0.3">
      <c r="A341" s="1">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1">
        <v>45438</v>
      </c>
      <c r="R341" s="1">
        <v>45444</v>
      </c>
      <c r="S341" t="s">
        <v>2924</v>
      </c>
    </row>
    <row r="342" spans="1:19" x14ac:dyDescent="0.3">
      <c r="A342" s="1">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1">
        <v>45468</v>
      </c>
      <c r="R342" s="1">
        <v>45473</v>
      </c>
      <c r="S342" t="s">
        <v>2922</v>
      </c>
    </row>
    <row r="343" spans="1:19" x14ac:dyDescent="0.3">
      <c r="A343" s="1">
        <v>45320</v>
      </c>
      <c r="B343" t="s">
        <v>22</v>
      </c>
      <c r="C343" t="s">
        <v>30</v>
      </c>
      <c r="D343">
        <v>16</v>
      </c>
      <c r="E343">
        <v>598.48</v>
      </c>
      <c r="F343" t="s">
        <v>32</v>
      </c>
      <c r="G343" t="s">
        <v>36</v>
      </c>
      <c r="H343">
        <v>0.1</v>
      </c>
      <c r="I343" t="s">
        <v>39</v>
      </c>
      <c r="J343">
        <v>8618.112000000001</v>
      </c>
      <c r="K343" t="s">
        <v>47</v>
      </c>
      <c r="L343" t="s">
        <v>2927</v>
      </c>
      <c r="M343">
        <v>0</v>
      </c>
      <c r="N343" t="s">
        <v>392</v>
      </c>
      <c r="O343" t="s">
        <v>1885</v>
      </c>
      <c r="P343">
        <v>47.86</v>
      </c>
      <c r="Q343" s="1">
        <v>45320</v>
      </c>
      <c r="R343" s="1">
        <v>45329</v>
      </c>
      <c r="S343" t="s">
        <v>2925</v>
      </c>
    </row>
    <row r="344" spans="1:19" x14ac:dyDescent="0.3">
      <c r="A344" s="1">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1">
        <v>45633</v>
      </c>
      <c r="R344" s="1">
        <v>45635</v>
      </c>
      <c r="S344" t="s">
        <v>2923</v>
      </c>
    </row>
    <row r="345" spans="1:19" x14ac:dyDescent="0.3">
      <c r="A345" s="1">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1">
        <v>45251</v>
      </c>
      <c r="R345" s="1">
        <v>45256</v>
      </c>
      <c r="S345" t="s">
        <v>2926</v>
      </c>
    </row>
    <row r="346" spans="1:19" x14ac:dyDescent="0.3">
      <c r="A346" s="1">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1">
        <v>45642</v>
      </c>
      <c r="R346" s="1">
        <v>45650</v>
      </c>
      <c r="S346" t="s">
        <v>2924</v>
      </c>
    </row>
    <row r="347" spans="1:19" x14ac:dyDescent="0.3">
      <c r="A347" s="1">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1">
        <v>45143</v>
      </c>
      <c r="R347" s="1">
        <v>45153</v>
      </c>
      <c r="S347" t="s">
        <v>2925</v>
      </c>
    </row>
    <row r="348" spans="1:19" x14ac:dyDescent="0.3">
      <c r="A348" s="1">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1">
        <v>45168</v>
      </c>
      <c r="R348" s="1">
        <v>45175</v>
      </c>
      <c r="S348" t="s">
        <v>2925</v>
      </c>
    </row>
    <row r="349" spans="1:19" x14ac:dyDescent="0.3">
      <c r="A349" s="1">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1">
        <v>45741</v>
      </c>
      <c r="R349" s="1">
        <v>45743</v>
      </c>
      <c r="S349" t="s">
        <v>2922</v>
      </c>
    </row>
    <row r="350" spans="1:19" x14ac:dyDescent="0.3">
      <c r="A350" s="1">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1">
        <v>45639</v>
      </c>
      <c r="R350" s="1">
        <v>45648</v>
      </c>
      <c r="S350" t="s">
        <v>2924</v>
      </c>
    </row>
    <row r="351" spans="1:19" x14ac:dyDescent="0.3">
      <c r="A351" s="1">
        <v>45176</v>
      </c>
      <c r="B351" t="s">
        <v>22</v>
      </c>
      <c r="C351" t="s">
        <v>25</v>
      </c>
      <c r="D351">
        <v>14</v>
      </c>
      <c r="E351">
        <v>52.09</v>
      </c>
      <c r="F351" t="s">
        <v>32</v>
      </c>
      <c r="G351" t="s">
        <v>36</v>
      </c>
      <c r="H351">
        <v>0</v>
      </c>
      <c r="I351" t="s">
        <v>42</v>
      </c>
      <c r="J351">
        <v>729.26</v>
      </c>
      <c r="K351" t="s">
        <v>44</v>
      </c>
      <c r="L351" t="s">
        <v>2927</v>
      </c>
      <c r="M351">
        <v>1</v>
      </c>
      <c r="N351" t="s">
        <v>400</v>
      </c>
      <c r="O351" t="s">
        <v>1893</v>
      </c>
      <c r="P351">
        <v>48.02</v>
      </c>
      <c r="Q351" s="1">
        <v>45176</v>
      </c>
      <c r="R351" s="1">
        <v>45183</v>
      </c>
      <c r="S351" t="s">
        <v>2925</v>
      </c>
    </row>
    <row r="352" spans="1:19" x14ac:dyDescent="0.3">
      <c r="A352" s="1">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1">
        <v>45272</v>
      </c>
      <c r="R352" s="1">
        <v>45281</v>
      </c>
      <c r="S352" t="s">
        <v>2924</v>
      </c>
    </row>
    <row r="353" spans="1:19" x14ac:dyDescent="0.3">
      <c r="A353" s="1">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1">
        <v>45407</v>
      </c>
      <c r="R353" s="1">
        <v>45417</v>
      </c>
      <c r="S353" t="s">
        <v>2922</v>
      </c>
    </row>
    <row r="354" spans="1:19" x14ac:dyDescent="0.3">
      <c r="A354" s="1">
        <v>45781</v>
      </c>
      <c r="B354" t="s">
        <v>21</v>
      </c>
      <c r="C354" t="s">
        <v>24</v>
      </c>
      <c r="D354">
        <v>8</v>
      </c>
      <c r="E354">
        <v>294.51</v>
      </c>
      <c r="F354" t="s">
        <v>32</v>
      </c>
      <c r="G354" t="s">
        <v>35</v>
      </c>
      <c r="H354">
        <v>0.15</v>
      </c>
      <c r="I354" t="s">
        <v>41</v>
      </c>
      <c r="J354">
        <v>2002.6679999999999</v>
      </c>
      <c r="K354" t="s">
        <v>44</v>
      </c>
      <c r="L354" t="s">
        <v>2927</v>
      </c>
      <c r="M354">
        <v>0</v>
      </c>
      <c r="N354" t="s">
        <v>403</v>
      </c>
      <c r="O354" t="s">
        <v>1896</v>
      </c>
      <c r="P354">
        <v>10.46</v>
      </c>
      <c r="Q354" s="1">
        <v>45781</v>
      </c>
      <c r="R354" s="1">
        <v>45784</v>
      </c>
      <c r="S354" t="s">
        <v>2924</v>
      </c>
    </row>
    <row r="355" spans="1:19" x14ac:dyDescent="0.3">
      <c r="A355" s="1">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1">
        <v>45185</v>
      </c>
      <c r="R355" s="1">
        <v>45189</v>
      </c>
      <c r="S355" t="s">
        <v>2923</v>
      </c>
    </row>
    <row r="356" spans="1:19" x14ac:dyDescent="0.3">
      <c r="A356" s="1">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1">
        <v>45588</v>
      </c>
      <c r="R356" s="1">
        <v>45591</v>
      </c>
      <c r="S356" t="s">
        <v>2926</v>
      </c>
    </row>
    <row r="357" spans="1:19" x14ac:dyDescent="0.3">
      <c r="A357" s="1">
        <v>45049</v>
      </c>
      <c r="B357" t="s">
        <v>21</v>
      </c>
      <c r="C357" t="s">
        <v>26</v>
      </c>
      <c r="D357">
        <v>2</v>
      </c>
      <c r="E357">
        <v>97.5</v>
      </c>
      <c r="F357" t="s">
        <v>34</v>
      </c>
      <c r="G357" t="s">
        <v>36</v>
      </c>
      <c r="H357">
        <v>0.1</v>
      </c>
      <c r="I357" t="s">
        <v>38</v>
      </c>
      <c r="J357">
        <v>175.5</v>
      </c>
      <c r="K357" t="s">
        <v>47</v>
      </c>
      <c r="L357" t="s">
        <v>2927</v>
      </c>
      <c r="M357">
        <v>1</v>
      </c>
      <c r="N357" t="s">
        <v>406</v>
      </c>
      <c r="O357" t="s">
        <v>1899</v>
      </c>
      <c r="P357">
        <v>46.37</v>
      </c>
      <c r="Q357" s="1">
        <v>45049</v>
      </c>
      <c r="R357" s="1">
        <v>45052</v>
      </c>
      <c r="S357" t="s">
        <v>2924</v>
      </c>
    </row>
    <row r="358" spans="1:19" x14ac:dyDescent="0.3">
      <c r="A358" s="1">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1">
        <v>45734</v>
      </c>
      <c r="R358" s="1">
        <v>45741</v>
      </c>
      <c r="S358" t="s">
        <v>2924</v>
      </c>
    </row>
    <row r="359" spans="1:19" x14ac:dyDescent="0.3">
      <c r="A359" s="1">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1">
        <v>45163</v>
      </c>
      <c r="R359" s="1">
        <v>45165</v>
      </c>
      <c r="S359" t="s">
        <v>2926</v>
      </c>
    </row>
    <row r="360" spans="1:19" x14ac:dyDescent="0.3">
      <c r="A360" s="1">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1">
        <v>45120</v>
      </c>
      <c r="R360" s="1">
        <v>45124</v>
      </c>
      <c r="S360" t="s">
        <v>2924</v>
      </c>
    </row>
    <row r="361" spans="1:19" x14ac:dyDescent="0.3">
      <c r="A361" s="1">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1">
        <v>45713</v>
      </c>
      <c r="R361" s="1">
        <v>45722</v>
      </c>
      <c r="S361" t="s">
        <v>2924</v>
      </c>
    </row>
    <row r="362" spans="1:19" x14ac:dyDescent="0.3">
      <c r="A362" s="1">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1">
        <v>45761</v>
      </c>
      <c r="R362" s="1">
        <v>45764</v>
      </c>
      <c r="S362" t="s">
        <v>2925</v>
      </c>
    </row>
    <row r="363" spans="1:19" x14ac:dyDescent="0.3">
      <c r="A363" s="1">
        <v>45823</v>
      </c>
      <c r="B363" t="s">
        <v>22</v>
      </c>
      <c r="C363" t="s">
        <v>26</v>
      </c>
      <c r="D363">
        <v>5</v>
      </c>
      <c r="E363">
        <v>5.52</v>
      </c>
      <c r="F363" t="s">
        <v>33</v>
      </c>
      <c r="G363" t="s">
        <v>36</v>
      </c>
      <c r="H363">
        <v>0.05</v>
      </c>
      <c r="I363" t="s">
        <v>38</v>
      </c>
      <c r="J363">
        <v>26.22</v>
      </c>
      <c r="K363" t="s">
        <v>45</v>
      </c>
      <c r="L363" t="s">
        <v>48</v>
      </c>
      <c r="M363">
        <v>0</v>
      </c>
      <c r="N363" t="s">
        <v>412</v>
      </c>
      <c r="O363" t="s">
        <v>1904</v>
      </c>
      <c r="P363">
        <v>10.58</v>
      </c>
      <c r="Q363" s="1">
        <v>45823</v>
      </c>
      <c r="R363" s="1">
        <v>45826</v>
      </c>
      <c r="S363" t="s">
        <v>2925</v>
      </c>
    </row>
    <row r="364" spans="1:19" x14ac:dyDescent="0.3">
      <c r="A364" s="1">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1">
        <v>45587</v>
      </c>
      <c r="R364" s="1">
        <v>45592</v>
      </c>
      <c r="S364" t="s">
        <v>2924</v>
      </c>
    </row>
    <row r="365" spans="1:19" x14ac:dyDescent="0.3">
      <c r="A365" s="1">
        <v>45097</v>
      </c>
      <c r="B365" t="s">
        <v>20</v>
      </c>
      <c r="C365" t="s">
        <v>24</v>
      </c>
      <c r="D365">
        <v>9</v>
      </c>
      <c r="E365">
        <v>282.8</v>
      </c>
      <c r="F365" t="s">
        <v>34</v>
      </c>
      <c r="G365" t="s">
        <v>35</v>
      </c>
      <c r="H365">
        <v>0.05</v>
      </c>
      <c r="I365" t="s">
        <v>37</v>
      </c>
      <c r="J365">
        <v>2417.94</v>
      </c>
      <c r="K365" t="s">
        <v>43</v>
      </c>
      <c r="L365" t="s">
        <v>2927</v>
      </c>
      <c r="M365">
        <v>0</v>
      </c>
      <c r="N365" t="s">
        <v>414</v>
      </c>
      <c r="O365" t="s">
        <v>1906</v>
      </c>
      <c r="P365">
        <v>49.79</v>
      </c>
      <c r="Q365" s="1">
        <v>45097</v>
      </c>
      <c r="R365" s="1">
        <v>45102</v>
      </c>
      <c r="S365" t="s">
        <v>2923</v>
      </c>
    </row>
    <row r="366" spans="1:19" x14ac:dyDescent="0.3">
      <c r="A366" s="1">
        <v>45721</v>
      </c>
      <c r="B366" t="s">
        <v>20</v>
      </c>
      <c r="C366" t="s">
        <v>25</v>
      </c>
      <c r="D366">
        <v>6</v>
      </c>
      <c r="E366">
        <v>525.42999999999995</v>
      </c>
      <c r="F366" t="s">
        <v>33</v>
      </c>
      <c r="G366" t="s">
        <v>35</v>
      </c>
      <c r="H366">
        <v>0.05</v>
      </c>
      <c r="I366" t="s">
        <v>38</v>
      </c>
      <c r="J366">
        <v>2994.951</v>
      </c>
      <c r="K366" t="s">
        <v>45</v>
      </c>
      <c r="L366" t="s">
        <v>2927</v>
      </c>
      <c r="M366">
        <v>0</v>
      </c>
      <c r="N366" t="s">
        <v>415</v>
      </c>
      <c r="O366" t="s">
        <v>1907</v>
      </c>
      <c r="P366">
        <v>39.28</v>
      </c>
      <c r="Q366" s="1">
        <v>45721</v>
      </c>
      <c r="R366" s="1">
        <v>45727</v>
      </c>
      <c r="S366" t="s">
        <v>2923</v>
      </c>
    </row>
    <row r="367" spans="1:19" x14ac:dyDescent="0.3">
      <c r="A367" s="1">
        <v>45227</v>
      </c>
      <c r="B367" t="s">
        <v>23</v>
      </c>
      <c r="C367" t="s">
        <v>29</v>
      </c>
      <c r="D367">
        <v>15</v>
      </c>
      <c r="E367">
        <v>127.67</v>
      </c>
      <c r="F367" t="s">
        <v>34</v>
      </c>
      <c r="G367" t="s">
        <v>36</v>
      </c>
      <c r="H367">
        <v>0.1</v>
      </c>
      <c r="I367" t="s">
        <v>38</v>
      </c>
      <c r="J367">
        <v>1723.5450000000001</v>
      </c>
      <c r="K367" t="s">
        <v>46</v>
      </c>
      <c r="L367" t="s">
        <v>2927</v>
      </c>
      <c r="M367">
        <v>0</v>
      </c>
      <c r="N367" t="s">
        <v>416</v>
      </c>
      <c r="O367" t="s">
        <v>1908</v>
      </c>
      <c r="P367">
        <v>48.77</v>
      </c>
      <c r="Q367" s="1">
        <v>45227</v>
      </c>
      <c r="R367" s="1">
        <v>45229</v>
      </c>
      <c r="S367" t="s">
        <v>2926</v>
      </c>
    </row>
    <row r="368" spans="1:19" x14ac:dyDescent="0.3">
      <c r="A368" s="1">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1">
        <v>45735</v>
      </c>
      <c r="R368" s="1">
        <v>45742</v>
      </c>
      <c r="S368" t="s">
        <v>2925</v>
      </c>
    </row>
    <row r="369" spans="1:19" x14ac:dyDescent="0.3">
      <c r="A369" s="1">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1">
        <v>45144</v>
      </c>
      <c r="R369" s="1">
        <v>45146</v>
      </c>
      <c r="S369" t="s">
        <v>2926</v>
      </c>
    </row>
    <row r="370" spans="1:19" x14ac:dyDescent="0.3">
      <c r="A370" s="1">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1">
        <v>45546</v>
      </c>
      <c r="R370" s="1">
        <v>45554</v>
      </c>
      <c r="S370" t="s">
        <v>2925</v>
      </c>
    </row>
    <row r="371" spans="1:19" x14ac:dyDescent="0.3">
      <c r="A371" s="1">
        <v>45665</v>
      </c>
      <c r="B371" t="s">
        <v>22</v>
      </c>
      <c r="C371" t="s">
        <v>27</v>
      </c>
      <c r="D371">
        <v>4</v>
      </c>
      <c r="E371">
        <v>353.7</v>
      </c>
      <c r="F371" t="s">
        <v>32</v>
      </c>
      <c r="G371" t="s">
        <v>35</v>
      </c>
      <c r="H371">
        <v>0</v>
      </c>
      <c r="I371" t="s">
        <v>39</v>
      </c>
      <c r="J371">
        <v>1414.8</v>
      </c>
      <c r="K371" t="s">
        <v>45</v>
      </c>
      <c r="L371" t="s">
        <v>48</v>
      </c>
      <c r="M371">
        <v>0</v>
      </c>
      <c r="N371" t="s">
        <v>420</v>
      </c>
      <c r="O371" t="s">
        <v>1912</v>
      </c>
      <c r="P371">
        <v>41.98</v>
      </c>
      <c r="Q371" s="1">
        <v>45665</v>
      </c>
      <c r="R371" s="1">
        <v>45669</v>
      </c>
      <c r="S371" t="s">
        <v>2925</v>
      </c>
    </row>
    <row r="372" spans="1:19" x14ac:dyDescent="0.3">
      <c r="A372" s="1">
        <v>45516</v>
      </c>
      <c r="B372" t="s">
        <v>22</v>
      </c>
      <c r="C372" t="s">
        <v>27</v>
      </c>
      <c r="D372">
        <v>3</v>
      </c>
      <c r="E372">
        <v>149.25</v>
      </c>
      <c r="F372" t="s">
        <v>34</v>
      </c>
      <c r="G372" t="s">
        <v>35</v>
      </c>
      <c r="H372">
        <v>0</v>
      </c>
      <c r="I372" t="s">
        <v>40</v>
      </c>
      <c r="J372">
        <v>447.75</v>
      </c>
      <c r="K372" t="s">
        <v>46</v>
      </c>
      <c r="L372" t="s">
        <v>2927</v>
      </c>
      <c r="M372">
        <v>1</v>
      </c>
      <c r="N372" t="s">
        <v>421</v>
      </c>
      <c r="O372" t="s">
        <v>1913</v>
      </c>
      <c r="P372">
        <v>13.17</v>
      </c>
      <c r="Q372" s="1">
        <v>45516</v>
      </c>
      <c r="R372" s="1">
        <v>45518</v>
      </c>
      <c r="S372" t="s">
        <v>2925</v>
      </c>
    </row>
    <row r="373" spans="1:19" x14ac:dyDescent="0.3">
      <c r="A373" s="1">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1">
        <v>45015</v>
      </c>
      <c r="R373" s="1">
        <v>45020</v>
      </c>
      <c r="S373" t="s">
        <v>2924</v>
      </c>
    </row>
    <row r="374" spans="1:19" x14ac:dyDescent="0.3">
      <c r="A374" s="1">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1">
        <v>44958</v>
      </c>
      <c r="R374" s="1">
        <v>44966</v>
      </c>
      <c r="S374" t="s">
        <v>2925</v>
      </c>
    </row>
    <row r="375" spans="1:19" x14ac:dyDescent="0.3">
      <c r="A375" s="1">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1">
        <v>45765</v>
      </c>
      <c r="R375" s="1">
        <v>45774</v>
      </c>
      <c r="S375" t="s">
        <v>2924</v>
      </c>
    </row>
    <row r="376" spans="1:19" x14ac:dyDescent="0.3">
      <c r="A376" s="1">
        <v>45745</v>
      </c>
      <c r="B376" t="s">
        <v>22</v>
      </c>
      <c r="C376" t="s">
        <v>28</v>
      </c>
      <c r="D376">
        <v>11</v>
      </c>
      <c r="E376">
        <v>149.66999999999999</v>
      </c>
      <c r="F376" t="s">
        <v>33</v>
      </c>
      <c r="G376" t="s">
        <v>36</v>
      </c>
      <c r="H376">
        <v>0.1</v>
      </c>
      <c r="I376" t="s">
        <v>37</v>
      </c>
      <c r="J376">
        <v>1481.7329999999999</v>
      </c>
      <c r="K376" t="s">
        <v>45</v>
      </c>
      <c r="L376" t="s">
        <v>2927</v>
      </c>
      <c r="M376">
        <v>0</v>
      </c>
      <c r="N376" t="s">
        <v>425</v>
      </c>
      <c r="O376" t="s">
        <v>1916</v>
      </c>
      <c r="P376">
        <v>34.130000000000003</v>
      </c>
      <c r="Q376" s="1">
        <v>45745</v>
      </c>
      <c r="R376" s="1">
        <v>45749</v>
      </c>
      <c r="S376" t="s">
        <v>2925</v>
      </c>
    </row>
    <row r="377" spans="1:19" x14ac:dyDescent="0.3">
      <c r="A377" s="1">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1">
        <v>45407</v>
      </c>
      <c r="R377" s="1">
        <v>45410</v>
      </c>
      <c r="S377" t="s">
        <v>2922</v>
      </c>
    </row>
    <row r="378" spans="1:19" x14ac:dyDescent="0.3">
      <c r="A378" s="1">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1">
        <v>45557</v>
      </c>
      <c r="R378" s="1">
        <v>45562</v>
      </c>
      <c r="S378" t="s">
        <v>2923</v>
      </c>
    </row>
    <row r="379" spans="1:19" x14ac:dyDescent="0.3">
      <c r="A379" s="1">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1">
        <v>45143</v>
      </c>
      <c r="R379" s="1">
        <v>45152</v>
      </c>
      <c r="S379" t="s">
        <v>2925</v>
      </c>
    </row>
    <row r="380" spans="1:19" x14ac:dyDescent="0.3">
      <c r="A380" s="1">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1">
        <v>45450</v>
      </c>
      <c r="R380" s="1">
        <v>45454</v>
      </c>
      <c r="S380" t="s">
        <v>2923</v>
      </c>
    </row>
    <row r="381" spans="1:19" x14ac:dyDescent="0.3">
      <c r="A381" s="1">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1">
        <v>45801</v>
      </c>
      <c r="R381" s="1">
        <v>45807</v>
      </c>
      <c r="S381" t="s">
        <v>2922</v>
      </c>
    </row>
    <row r="382" spans="1:19" x14ac:dyDescent="0.3">
      <c r="A382" s="1">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1">
        <v>45491</v>
      </c>
      <c r="R382" s="1">
        <v>45498</v>
      </c>
      <c r="S382" t="s">
        <v>2923</v>
      </c>
    </row>
    <row r="383" spans="1:19" x14ac:dyDescent="0.3">
      <c r="A383" s="1">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1">
        <v>45487</v>
      </c>
      <c r="R383" s="1">
        <v>45489</v>
      </c>
      <c r="S383" t="s">
        <v>2926</v>
      </c>
    </row>
    <row r="384" spans="1:19" x14ac:dyDescent="0.3">
      <c r="A384" s="1">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1">
        <v>45030</v>
      </c>
      <c r="R384" s="1">
        <v>45035</v>
      </c>
      <c r="S384" t="s">
        <v>2925</v>
      </c>
    </row>
    <row r="385" spans="1:19" x14ac:dyDescent="0.3">
      <c r="A385" s="1">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1">
        <v>45078</v>
      </c>
      <c r="R385" s="1">
        <v>45083</v>
      </c>
      <c r="S385" t="s">
        <v>2923</v>
      </c>
    </row>
    <row r="386" spans="1:19" x14ac:dyDescent="0.3">
      <c r="A386" s="1">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1">
        <v>45764</v>
      </c>
      <c r="R386" s="1">
        <v>45767</v>
      </c>
      <c r="S386" t="s">
        <v>2925</v>
      </c>
    </row>
    <row r="387" spans="1:19" x14ac:dyDescent="0.3">
      <c r="A387" s="1">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1">
        <v>45747</v>
      </c>
      <c r="R387" s="1">
        <v>45756</v>
      </c>
      <c r="S387" t="s">
        <v>2922</v>
      </c>
    </row>
    <row r="388" spans="1:19" x14ac:dyDescent="0.3">
      <c r="A388" s="1">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1">
        <v>45488</v>
      </c>
      <c r="R388" s="1">
        <v>45495</v>
      </c>
      <c r="S388" t="s">
        <v>2922</v>
      </c>
    </row>
    <row r="389" spans="1:19" x14ac:dyDescent="0.3">
      <c r="A389" s="1">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1">
        <v>45534</v>
      </c>
      <c r="R389" s="1">
        <v>45536</v>
      </c>
      <c r="S389" t="s">
        <v>2923</v>
      </c>
    </row>
    <row r="390" spans="1:19" x14ac:dyDescent="0.3">
      <c r="A390" s="1">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1">
        <v>45664</v>
      </c>
      <c r="R390" s="1">
        <v>45667</v>
      </c>
      <c r="S390" t="s">
        <v>2925</v>
      </c>
    </row>
    <row r="391" spans="1:19" x14ac:dyDescent="0.3">
      <c r="A391" s="1">
        <v>45693</v>
      </c>
      <c r="B391" t="s">
        <v>20</v>
      </c>
      <c r="C391" t="s">
        <v>25</v>
      </c>
      <c r="D391">
        <v>16</v>
      </c>
      <c r="E391">
        <v>34.659999999999997</v>
      </c>
      <c r="F391" t="s">
        <v>33</v>
      </c>
      <c r="G391" t="s">
        <v>36</v>
      </c>
      <c r="H391">
        <v>0.05</v>
      </c>
      <c r="I391" t="s">
        <v>38</v>
      </c>
      <c r="J391">
        <v>526.83199999999988</v>
      </c>
      <c r="K391" t="s">
        <v>46</v>
      </c>
      <c r="L391" t="s">
        <v>2927</v>
      </c>
      <c r="M391">
        <v>0</v>
      </c>
      <c r="N391" t="s">
        <v>440</v>
      </c>
      <c r="O391" t="s">
        <v>1931</v>
      </c>
      <c r="P391">
        <v>49.9</v>
      </c>
      <c r="Q391" s="1">
        <v>45693</v>
      </c>
      <c r="R391" s="1">
        <v>45699</v>
      </c>
      <c r="S391" t="s">
        <v>2923</v>
      </c>
    </row>
    <row r="392" spans="1:19" x14ac:dyDescent="0.3">
      <c r="A392" s="1">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1">
        <v>45383</v>
      </c>
      <c r="R392" s="1">
        <v>45386</v>
      </c>
      <c r="S392" t="s">
        <v>2924</v>
      </c>
    </row>
    <row r="393" spans="1:19" x14ac:dyDescent="0.3">
      <c r="A393" s="1">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1">
        <v>45717</v>
      </c>
      <c r="R393" s="1">
        <v>45725</v>
      </c>
      <c r="S393" t="s">
        <v>2926</v>
      </c>
    </row>
    <row r="394" spans="1:19" x14ac:dyDescent="0.3">
      <c r="A394" s="1">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1">
        <v>45110</v>
      </c>
      <c r="R394" s="1">
        <v>45113</v>
      </c>
      <c r="S394" t="s">
        <v>2925</v>
      </c>
    </row>
    <row r="395" spans="1:19" x14ac:dyDescent="0.3">
      <c r="A395" s="1">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1">
        <v>45041</v>
      </c>
      <c r="R395" s="1">
        <v>45047</v>
      </c>
      <c r="S395" t="s">
        <v>2925</v>
      </c>
    </row>
    <row r="396" spans="1:19" x14ac:dyDescent="0.3">
      <c r="A396" s="1">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1">
        <v>45756</v>
      </c>
      <c r="R396" s="1">
        <v>45766</v>
      </c>
      <c r="S396" t="s">
        <v>2926</v>
      </c>
    </row>
    <row r="397" spans="1:19" x14ac:dyDescent="0.3">
      <c r="A397" s="1">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1">
        <v>45235</v>
      </c>
      <c r="R397" s="1">
        <v>45242</v>
      </c>
      <c r="S397" t="s">
        <v>2924</v>
      </c>
    </row>
    <row r="398" spans="1:19" x14ac:dyDescent="0.3">
      <c r="A398" s="1">
        <v>44939</v>
      </c>
      <c r="B398" t="s">
        <v>19</v>
      </c>
      <c r="C398" t="s">
        <v>24</v>
      </c>
      <c r="D398">
        <v>9</v>
      </c>
      <c r="E398">
        <v>223.01</v>
      </c>
      <c r="F398" t="s">
        <v>33</v>
      </c>
      <c r="G398" t="s">
        <v>36</v>
      </c>
      <c r="H398">
        <v>0</v>
      </c>
      <c r="I398" t="s">
        <v>41</v>
      </c>
      <c r="J398">
        <v>2007.09</v>
      </c>
      <c r="K398" t="s">
        <v>47</v>
      </c>
      <c r="L398" t="s">
        <v>2927</v>
      </c>
      <c r="M398">
        <v>1</v>
      </c>
      <c r="N398" t="s">
        <v>447</v>
      </c>
      <c r="O398" t="s">
        <v>1938</v>
      </c>
      <c r="P398">
        <v>11.9</v>
      </c>
      <c r="Q398" s="1">
        <v>44939</v>
      </c>
      <c r="R398" s="1">
        <v>44945</v>
      </c>
      <c r="S398" t="s">
        <v>2922</v>
      </c>
    </row>
    <row r="399" spans="1:19" x14ac:dyDescent="0.3">
      <c r="A399" s="1">
        <v>45694</v>
      </c>
      <c r="B399" t="s">
        <v>23</v>
      </c>
      <c r="C399" t="s">
        <v>27</v>
      </c>
      <c r="D399">
        <v>14</v>
      </c>
      <c r="E399">
        <v>291.91000000000003</v>
      </c>
      <c r="F399" t="s">
        <v>32</v>
      </c>
      <c r="G399" t="s">
        <v>36</v>
      </c>
      <c r="H399">
        <v>0.15</v>
      </c>
      <c r="I399" t="s">
        <v>39</v>
      </c>
      <c r="J399">
        <v>3473.7289999999998</v>
      </c>
      <c r="K399" t="s">
        <v>45</v>
      </c>
      <c r="L399" t="s">
        <v>2927</v>
      </c>
      <c r="M399">
        <v>0</v>
      </c>
      <c r="N399" t="s">
        <v>448</v>
      </c>
      <c r="O399" t="s">
        <v>1939</v>
      </c>
      <c r="P399">
        <v>27.51</v>
      </c>
      <c r="Q399" s="1">
        <v>45694</v>
      </c>
      <c r="R399" s="1">
        <v>45698</v>
      </c>
      <c r="S399" t="s">
        <v>2926</v>
      </c>
    </row>
    <row r="400" spans="1:19" x14ac:dyDescent="0.3">
      <c r="A400" s="1">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1">
        <v>45066</v>
      </c>
      <c r="R400" s="1">
        <v>45071</v>
      </c>
      <c r="S400" t="s">
        <v>2923</v>
      </c>
    </row>
    <row r="401" spans="1:19" x14ac:dyDescent="0.3">
      <c r="A401" s="1">
        <v>45826</v>
      </c>
      <c r="B401" t="s">
        <v>19</v>
      </c>
      <c r="C401" t="s">
        <v>26</v>
      </c>
      <c r="D401">
        <v>4</v>
      </c>
      <c r="E401">
        <v>109.05</v>
      </c>
      <c r="F401" t="s">
        <v>34</v>
      </c>
      <c r="G401" t="s">
        <v>35</v>
      </c>
      <c r="H401">
        <v>0</v>
      </c>
      <c r="I401" t="s">
        <v>41</v>
      </c>
      <c r="J401">
        <v>436.2</v>
      </c>
      <c r="K401" t="s">
        <v>44</v>
      </c>
      <c r="L401" t="s">
        <v>50</v>
      </c>
      <c r="M401">
        <v>0</v>
      </c>
      <c r="N401" t="s">
        <v>450</v>
      </c>
      <c r="O401" t="s">
        <v>1941</v>
      </c>
      <c r="P401">
        <v>21.02</v>
      </c>
      <c r="Q401" s="1">
        <v>45826</v>
      </c>
      <c r="R401" s="1">
        <v>45832</v>
      </c>
      <c r="S401" t="s">
        <v>2922</v>
      </c>
    </row>
    <row r="402" spans="1:19" x14ac:dyDescent="0.3">
      <c r="A402" s="1">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1">
        <v>44980</v>
      </c>
      <c r="R402" s="1">
        <v>44984</v>
      </c>
      <c r="S402" t="s">
        <v>2926</v>
      </c>
    </row>
    <row r="403" spans="1:19" x14ac:dyDescent="0.3">
      <c r="A403" s="1">
        <v>45605</v>
      </c>
      <c r="B403" t="s">
        <v>19</v>
      </c>
      <c r="C403" t="s">
        <v>30</v>
      </c>
      <c r="D403">
        <v>15</v>
      </c>
      <c r="E403">
        <v>380.03</v>
      </c>
      <c r="F403" t="s">
        <v>32</v>
      </c>
      <c r="G403" t="s">
        <v>36</v>
      </c>
      <c r="H403">
        <v>0</v>
      </c>
      <c r="I403" t="s">
        <v>42</v>
      </c>
      <c r="J403">
        <v>5700.45</v>
      </c>
      <c r="K403" t="s">
        <v>43</v>
      </c>
      <c r="L403" t="s">
        <v>2927</v>
      </c>
      <c r="M403">
        <v>0</v>
      </c>
      <c r="N403" t="s">
        <v>452</v>
      </c>
      <c r="O403" t="s">
        <v>1943</v>
      </c>
      <c r="P403">
        <v>25.72</v>
      </c>
      <c r="Q403" s="1">
        <v>45605</v>
      </c>
      <c r="R403" s="1">
        <v>45608</v>
      </c>
      <c r="S403" t="s">
        <v>2922</v>
      </c>
    </row>
    <row r="404" spans="1:19" x14ac:dyDescent="0.3">
      <c r="A404" s="1">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1">
        <v>45498</v>
      </c>
      <c r="R404" s="1">
        <v>45504</v>
      </c>
      <c r="S404" t="s">
        <v>2923</v>
      </c>
    </row>
    <row r="405" spans="1:19" x14ac:dyDescent="0.3">
      <c r="A405" s="1">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1">
        <v>45157</v>
      </c>
      <c r="R405" s="1">
        <v>45161</v>
      </c>
      <c r="S405" t="s">
        <v>2926</v>
      </c>
    </row>
    <row r="406" spans="1:19" x14ac:dyDescent="0.3">
      <c r="A406" s="1">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1">
        <v>45243</v>
      </c>
      <c r="R406" s="1">
        <v>45245</v>
      </c>
      <c r="S406" t="s">
        <v>2923</v>
      </c>
    </row>
    <row r="407" spans="1:19" x14ac:dyDescent="0.3">
      <c r="A407" s="1">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1">
        <v>45545</v>
      </c>
      <c r="R407" s="1">
        <v>45553</v>
      </c>
      <c r="S407" t="s">
        <v>2926</v>
      </c>
    </row>
    <row r="408" spans="1:19" x14ac:dyDescent="0.3">
      <c r="A408" s="1">
        <v>45534</v>
      </c>
      <c r="B408" t="s">
        <v>22</v>
      </c>
      <c r="C408" t="s">
        <v>27</v>
      </c>
      <c r="D408">
        <v>13</v>
      </c>
      <c r="E408">
        <v>567.5</v>
      </c>
      <c r="F408" t="s">
        <v>32</v>
      </c>
      <c r="G408" t="s">
        <v>36</v>
      </c>
      <c r="H408">
        <v>0</v>
      </c>
      <c r="I408" t="s">
        <v>37</v>
      </c>
      <c r="J408">
        <v>7377.5</v>
      </c>
      <c r="K408" t="s">
        <v>45</v>
      </c>
      <c r="L408" t="s">
        <v>2927</v>
      </c>
      <c r="M408">
        <v>0</v>
      </c>
      <c r="N408" t="s">
        <v>457</v>
      </c>
      <c r="O408" t="s">
        <v>1948</v>
      </c>
      <c r="P408">
        <v>28.41</v>
      </c>
      <c r="Q408" s="1">
        <v>45534</v>
      </c>
      <c r="R408" s="1">
        <v>45537</v>
      </c>
      <c r="S408" t="s">
        <v>2925</v>
      </c>
    </row>
    <row r="409" spans="1:19" x14ac:dyDescent="0.3">
      <c r="A409" s="1">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1">
        <v>45606</v>
      </c>
      <c r="R409" s="1">
        <v>45613</v>
      </c>
      <c r="S409" t="s">
        <v>2922</v>
      </c>
    </row>
    <row r="410" spans="1:19" x14ac:dyDescent="0.3">
      <c r="A410" s="1">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1">
        <v>45029</v>
      </c>
      <c r="R410" s="1">
        <v>45035</v>
      </c>
      <c r="S410" t="s">
        <v>2922</v>
      </c>
    </row>
    <row r="411" spans="1:19" x14ac:dyDescent="0.3">
      <c r="A411" s="1">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1">
        <v>45250</v>
      </c>
      <c r="R411" s="1">
        <v>45257</v>
      </c>
      <c r="S411" t="s">
        <v>2922</v>
      </c>
    </row>
    <row r="412" spans="1:19" x14ac:dyDescent="0.3">
      <c r="A412" s="1">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1">
        <v>45761</v>
      </c>
      <c r="R412" s="1">
        <v>45766</v>
      </c>
      <c r="S412" t="s">
        <v>2924</v>
      </c>
    </row>
    <row r="413" spans="1:19" x14ac:dyDescent="0.3">
      <c r="A413" s="1">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1">
        <v>44989</v>
      </c>
      <c r="R413" s="1">
        <v>44994</v>
      </c>
      <c r="S413" t="s">
        <v>2925</v>
      </c>
    </row>
    <row r="414" spans="1:19" x14ac:dyDescent="0.3">
      <c r="A414" s="1">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1">
        <v>45612</v>
      </c>
      <c r="R414" s="1">
        <v>45615</v>
      </c>
      <c r="S414" t="s">
        <v>2924</v>
      </c>
    </row>
    <row r="415" spans="1:19" x14ac:dyDescent="0.3">
      <c r="A415" s="1">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1">
        <v>45437</v>
      </c>
      <c r="R415" s="1">
        <v>45445</v>
      </c>
      <c r="S415" t="s">
        <v>2923</v>
      </c>
    </row>
    <row r="416" spans="1:19" x14ac:dyDescent="0.3">
      <c r="A416" s="1">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1">
        <v>45028</v>
      </c>
      <c r="R416" s="1">
        <v>45031</v>
      </c>
      <c r="S416" t="s">
        <v>2922</v>
      </c>
    </row>
    <row r="417" spans="1:19" x14ac:dyDescent="0.3">
      <c r="A417" s="1">
        <v>44992</v>
      </c>
      <c r="B417" t="s">
        <v>20</v>
      </c>
      <c r="C417" t="s">
        <v>26</v>
      </c>
      <c r="D417">
        <v>10</v>
      </c>
      <c r="E417">
        <v>397.33</v>
      </c>
      <c r="F417" t="s">
        <v>31</v>
      </c>
      <c r="G417" t="s">
        <v>36</v>
      </c>
      <c r="H417">
        <v>0.15</v>
      </c>
      <c r="I417" t="s">
        <v>38</v>
      </c>
      <c r="J417">
        <v>3377.3049999999998</v>
      </c>
      <c r="K417" t="s">
        <v>45</v>
      </c>
      <c r="L417" t="s">
        <v>2927</v>
      </c>
      <c r="M417">
        <v>0</v>
      </c>
      <c r="N417" t="s">
        <v>466</v>
      </c>
      <c r="O417" t="s">
        <v>1955</v>
      </c>
      <c r="P417">
        <v>10.199999999999999</v>
      </c>
      <c r="Q417" s="1">
        <v>44992</v>
      </c>
      <c r="R417" s="1">
        <v>44998</v>
      </c>
      <c r="S417" t="s">
        <v>2923</v>
      </c>
    </row>
    <row r="418" spans="1:19" x14ac:dyDescent="0.3">
      <c r="A418" s="1">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1">
        <v>45296</v>
      </c>
      <c r="R418" s="1">
        <v>45302</v>
      </c>
      <c r="S418" t="s">
        <v>2925</v>
      </c>
    </row>
    <row r="419" spans="1:19" x14ac:dyDescent="0.3">
      <c r="A419" s="1">
        <v>45596</v>
      </c>
      <c r="B419" t="s">
        <v>23</v>
      </c>
      <c r="C419" t="s">
        <v>26</v>
      </c>
      <c r="D419">
        <v>17</v>
      </c>
      <c r="E419">
        <v>82.2</v>
      </c>
      <c r="F419" t="s">
        <v>33</v>
      </c>
      <c r="G419" t="s">
        <v>35</v>
      </c>
      <c r="H419">
        <v>0</v>
      </c>
      <c r="I419" t="s">
        <v>38</v>
      </c>
      <c r="J419">
        <v>1397.4</v>
      </c>
      <c r="K419" t="s">
        <v>47</v>
      </c>
      <c r="L419" t="s">
        <v>50</v>
      </c>
      <c r="M419">
        <v>0</v>
      </c>
      <c r="N419" t="s">
        <v>468</v>
      </c>
      <c r="O419" t="s">
        <v>1957</v>
      </c>
      <c r="P419">
        <v>32.5</v>
      </c>
      <c r="Q419" s="1">
        <v>45596</v>
      </c>
      <c r="R419" s="1">
        <v>45606</v>
      </c>
      <c r="S419" t="s">
        <v>2926</v>
      </c>
    </row>
    <row r="420" spans="1:19" x14ac:dyDescent="0.3">
      <c r="A420" s="1">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1">
        <v>45420</v>
      </c>
      <c r="R420" s="1">
        <v>45426</v>
      </c>
      <c r="S420" t="s">
        <v>2926</v>
      </c>
    </row>
    <row r="421" spans="1:19" x14ac:dyDescent="0.3">
      <c r="A421" s="1">
        <v>45356</v>
      </c>
      <c r="B421" t="s">
        <v>22</v>
      </c>
      <c r="C421" t="s">
        <v>28</v>
      </c>
      <c r="D421">
        <v>1</v>
      </c>
      <c r="E421">
        <v>8.1999999999999993</v>
      </c>
      <c r="F421" t="s">
        <v>33</v>
      </c>
      <c r="G421" t="s">
        <v>35</v>
      </c>
      <c r="H421">
        <v>0.15</v>
      </c>
      <c r="I421" t="s">
        <v>39</v>
      </c>
      <c r="J421">
        <v>6.9699999999999989</v>
      </c>
      <c r="K421" t="s">
        <v>46</v>
      </c>
      <c r="L421" t="s">
        <v>2927</v>
      </c>
      <c r="M421">
        <v>0</v>
      </c>
      <c r="N421" t="s">
        <v>470</v>
      </c>
      <c r="O421" t="s">
        <v>1959</v>
      </c>
      <c r="P421">
        <v>30.35</v>
      </c>
      <c r="Q421" s="1">
        <v>45356</v>
      </c>
      <c r="R421" s="1">
        <v>45366</v>
      </c>
      <c r="S421" t="s">
        <v>2925</v>
      </c>
    </row>
    <row r="422" spans="1:19" x14ac:dyDescent="0.3">
      <c r="A422" s="1">
        <v>45125</v>
      </c>
      <c r="B422" t="s">
        <v>21</v>
      </c>
      <c r="C422" t="s">
        <v>24</v>
      </c>
      <c r="D422">
        <v>12</v>
      </c>
      <c r="E422">
        <v>425.78</v>
      </c>
      <c r="F422" t="s">
        <v>32</v>
      </c>
      <c r="G422" t="s">
        <v>36</v>
      </c>
      <c r="H422">
        <v>0.1</v>
      </c>
      <c r="I422" t="s">
        <v>42</v>
      </c>
      <c r="J422">
        <v>4598.424</v>
      </c>
      <c r="K422" t="s">
        <v>43</v>
      </c>
      <c r="L422" t="s">
        <v>2927</v>
      </c>
      <c r="M422">
        <v>1</v>
      </c>
      <c r="N422" t="s">
        <v>471</v>
      </c>
      <c r="O422" t="s">
        <v>1960</v>
      </c>
      <c r="P422">
        <v>25.48</v>
      </c>
      <c r="Q422" s="1">
        <v>45125</v>
      </c>
      <c r="R422" s="1">
        <v>45129</v>
      </c>
      <c r="S422" t="s">
        <v>2924</v>
      </c>
    </row>
    <row r="423" spans="1:19" x14ac:dyDescent="0.3">
      <c r="A423" s="1">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1">
        <v>45143</v>
      </c>
      <c r="R423" s="1">
        <v>45152</v>
      </c>
      <c r="S423" t="s">
        <v>2923</v>
      </c>
    </row>
    <row r="424" spans="1:19" x14ac:dyDescent="0.3">
      <c r="A424" s="1">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1">
        <v>45187</v>
      </c>
      <c r="R424" s="1">
        <v>45189</v>
      </c>
      <c r="S424" t="s">
        <v>2926</v>
      </c>
    </row>
    <row r="425" spans="1:19" x14ac:dyDescent="0.3">
      <c r="A425" s="1">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1">
        <v>45012</v>
      </c>
      <c r="R425" s="1">
        <v>45014</v>
      </c>
      <c r="S425" t="s">
        <v>2923</v>
      </c>
    </row>
    <row r="426" spans="1:19" x14ac:dyDescent="0.3">
      <c r="A426" s="1">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1">
        <v>44993</v>
      </c>
      <c r="R426" s="1">
        <v>45002</v>
      </c>
      <c r="S426" t="s">
        <v>2922</v>
      </c>
    </row>
    <row r="427" spans="1:19" x14ac:dyDescent="0.3">
      <c r="A427" s="1">
        <v>45414</v>
      </c>
      <c r="B427" t="s">
        <v>23</v>
      </c>
      <c r="C427" t="s">
        <v>26</v>
      </c>
      <c r="D427">
        <v>5</v>
      </c>
      <c r="E427">
        <v>245.2</v>
      </c>
      <c r="F427" t="s">
        <v>31</v>
      </c>
      <c r="G427" t="s">
        <v>36</v>
      </c>
      <c r="H427">
        <v>0.15</v>
      </c>
      <c r="I427" t="s">
        <v>37</v>
      </c>
      <c r="J427">
        <v>1042.0999999999999</v>
      </c>
      <c r="K427" t="s">
        <v>43</v>
      </c>
      <c r="L427" t="s">
        <v>2927</v>
      </c>
      <c r="M427">
        <v>0</v>
      </c>
      <c r="N427" t="s">
        <v>476</v>
      </c>
      <c r="O427" t="s">
        <v>1965</v>
      </c>
      <c r="P427">
        <v>46.37</v>
      </c>
      <c r="Q427" s="1">
        <v>45414</v>
      </c>
      <c r="R427" s="1">
        <v>45418</v>
      </c>
      <c r="S427" t="s">
        <v>2926</v>
      </c>
    </row>
    <row r="428" spans="1:19" x14ac:dyDescent="0.3">
      <c r="A428" s="1">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1">
        <v>45185</v>
      </c>
      <c r="R428" s="1">
        <v>45195</v>
      </c>
      <c r="S428" t="s">
        <v>2924</v>
      </c>
    </row>
    <row r="429" spans="1:19" x14ac:dyDescent="0.3">
      <c r="A429" s="1">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1">
        <v>45090</v>
      </c>
      <c r="R429" s="1">
        <v>45099</v>
      </c>
      <c r="S429" t="s">
        <v>2923</v>
      </c>
    </row>
    <row r="430" spans="1:19" x14ac:dyDescent="0.3">
      <c r="A430" s="1">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1">
        <v>45235</v>
      </c>
      <c r="R430" s="1">
        <v>45238</v>
      </c>
      <c r="S430" t="s">
        <v>2924</v>
      </c>
    </row>
    <row r="431" spans="1:19" x14ac:dyDescent="0.3">
      <c r="A431" s="1">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1">
        <v>45619</v>
      </c>
      <c r="R431" s="1">
        <v>45622</v>
      </c>
      <c r="S431" t="s">
        <v>2923</v>
      </c>
    </row>
    <row r="432" spans="1:19" x14ac:dyDescent="0.3">
      <c r="A432" s="1">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1">
        <v>45331</v>
      </c>
      <c r="R432" s="1">
        <v>45340</v>
      </c>
      <c r="S432" t="s">
        <v>2925</v>
      </c>
    </row>
    <row r="433" spans="1:19" x14ac:dyDescent="0.3">
      <c r="A433" s="1">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1">
        <v>45246</v>
      </c>
      <c r="R433" s="1">
        <v>45252</v>
      </c>
      <c r="S433" t="s">
        <v>2925</v>
      </c>
    </row>
    <row r="434" spans="1:19" x14ac:dyDescent="0.3">
      <c r="A434" s="1">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1">
        <v>45681</v>
      </c>
      <c r="R434" s="1">
        <v>45686</v>
      </c>
      <c r="S434" t="s">
        <v>2925</v>
      </c>
    </row>
    <row r="435" spans="1:19" x14ac:dyDescent="0.3">
      <c r="A435" s="1">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1">
        <v>45783</v>
      </c>
      <c r="R435" s="1">
        <v>45786</v>
      </c>
      <c r="S435" t="s">
        <v>2925</v>
      </c>
    </row>
    <row r="436" spans="1:19" x14ac:dyDescent="0.3">
      <c r="A436" s="1">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1">
        <v>45794</v>
      </c>
      <c r="R436" s="1">
        <v>45804</v>
      </c>
      <c r="S436" t="s">
        <v>2922</v>
      </c>
    </row>
    <row r="437" spans="1:19" x14ac:dyDescent="0.3">
      <c r="A437" s="1">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1">
        <v>45259</v>
      </c>
      <c r="R437" s="1">
        <v>45261</v>
      </c>
      <c r="S437" t="s">
        <v>2925</v>
      </c>
    </row>
    <row r="438" spans="1:19" x14ac:dyDescent="0.3">
      <c r="A438" s="1">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1">
        <v>44981</v>
      </c>
      <c r="R438" s="1">
        <v>44983</v>
      </c>
      <c r="S438" t="s">
        <v>2923</v>
      </c>
    </row>
    <row r="439" spans="1:19" x14ac:dyDescent="0.3">
      <c r="A439" s="1">
        <v>45234</v>
      </c>
      <c r="B439" t="s">
        <v>20</v>
      </c>
      <c r="C439" t="s">
        <v>24</v>
      </c>
      <c r="D439">
        <v>18</v>
      </c>
      <c r="E439">
        <v>426.3</v>
      </c>
      <c r="F439" t="s">
        <v>32</v>
      </c>
      <c r="G439" t="s">
        <v>35</v>
      </c>
      <c r="H439">
        <v>0.15</v>
      </c>
      <c r="I439" t="s">
        <v>40</v>
      </c>
      <c r="J439">
        <v>6522.39</v>
      </c>
      <c r="K439" t="s">
        <v>45</v>
      </c>
      <c r="L439" t="s">
        <v>2927</v>
      </c>
      <c r="M439">
        <v>1</v>
      </c>
      <c r="N439" t="s">
        <v>488</v>
      </c>
      <c r="O439" t="s">
        <v>1977</v>
      </c>
      <c r="P439">
        <v>29.81</v>
      </c>
      <c r="Q439" s="1">
        <v>45234</v>
      </c>
      <c r="R439" s="1">
        <v>45240</v>
      </c>
      <c r="S439" t="s">
        <v>2923</v>
      </c>
    </row>
    <row r="440" spans="1:19" x14ac:dyDescent="0.3">
      <c r="A440" s="1">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1">
        <v>45458</v>
      </c>
      <c r="R440" s="1">
        <v>45465</v>
      </c>
      <c r="S440" t="s">
        <v>2922</v>
      </c>
    </row>
    <row r="441" spans="1:19" x14ac:dyDescent="0.3">
      <c r="A441" s="1">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1">
        <v>45567</v>
      </c>
      <c r="R441" s="1">
        <v>45571</v>
      </c>
      <c r="S441" t="s">
        <v>2924</v>
      </c>
    </row>
    <row r="442" spans="1:19" x14ac:dyDescent="0.3">
      <c r="A442" s="1">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1">
        <v>45080</v>
      </c>
      <c r="R442" s="1">
        <v>45090</v>
      </c>
      <c r="S442" t="s">
        <v>2926</v>
      </c>
    </row>
    <row r="443" spans="1:19" x14ac:dyDescent="0.3">
      <c r="A443" s="1">
        <v>45179</v>
      </c>
      <c r="B443" t="s">
        <v>19</v>
      </c>
      <c r="C443" t="s">
        <v>25</v>
      </c>
      <c r="D443">
        <v>6</v>
      </c>
      <c r="E443">
        <v>471.74</v>
      </c>
      <c r="F443" t="s">
        <v>33</v>
      </c>
      <c r="G443" t="s">
        <v>36</v>
      </c>
      <c r="H443">
        <v>0.15</v>
      </c>
      <c r="I443" t="s">
        <v>40</v>
      </c>
      <c r="J443">
        <v>2405.8739999999998</v>
      </c>
      <c r="K443" t="s">
        <v>43</v>
      </c>
      <c r="L443" t="s">
        <v>2927</v>
      </c>
      <c r="M443">
        <v>0</v>
      </c>
      <c r="N443" t="s">
        <v>492</v>
      </c>
      <c r="O443" t="s">
        <v>1981</v>
      </c>
      <c r="P443">
        <v>36.79</v>
      </c>
      <c r="Q443" s="1">
        <v>45179</v>
      </c>
      <c r="R443" s="1">
        <v>45187</v>
      </c>
      <c r="S443" t="s">
        <v>2922</v>
      </c>
    </row>
    <row r="444" spans="1:19" x14ac:dyDescent="0.3">
      <c r="A444" s="1">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1">
        <v>45797</v>
      </c>
      <c r="R444" s="1">
        <v>45799</v>
      </c>
      <c r="S444" t="s">
        <v>2925</v>
      </c>
    </row>
    <row r="445" spans="1:19" x14ac:dyDescent="0.3">
      <c r="A445" s="1">
        <v>45193</v>
      </c>
      <c r="B445" t="s">
        <v>21</v>
      </c>
      <c r="C445" t="s">
        <v>29</v>
      </c>
      <c r="D445">
        <v>13</v>
      </c>
      <c r="E445">
        <v>115.86</v>
      </c>
      <c r="F445" t="s">
        <v>32</v>
      </c>
      <c r="G445" t="s">
        <v>35</v>
      </c>
      <c r="H445">
        <v>0.1</v>
      </c>
      <c r="I445" t="s">
        <v>41</v>
      </c>
      <c r="J445">
        <v>1355.5619999999999</v>
      </c>
      <c r="K445" t="s">
        <v>47</v>
      </c>
      <c r="L445" t="s">
        <v>2927</v>
      </c>
      <c r="M445">
        <v>1</v>
      </c>
      <c r="N445" t="s">
        <v>494</v>
      </c>
      <c r="O445" t="s">
        <v>1983</v>
      </c>
      <c r="P445">
        <v>28.52</v>
      </c>
      <c r="Q445" s="1">
        <v>45193</v>
      </c>
      <c r="R445" s="1">
        <v>45202</v>
      </c>
      <c r="S445" t="s">
        <v>2924</v>
      </c>
    </row>
    <row r="446" spans="1:19" x14ac:dyDescent="0.3">
      <c r="A446" s="1">
        <v>45745</v>
      </c>
      <c r="B446" t="s">
        <v>19</v>
      </c>
      <c r="C446" t="s">
        <v>29</v>
      </c>
      <c r="D446">
        <v>18</v>
      </c>
      <c r="E446">
        <v>398.26</v>
      </c>
      <c r="F446" t="s">
        <v>31</v>
      </c>
      <c r="G446" t="s">
        <v>36</v>
      </c>
      <c r="H446">
        <v>0.1</v>
      </c>
      <c r="I446" t="s">
        <v>42</v>
      </c>
      <c r="J446">
        <v>6451.8120000000008</v>
      </c>
      <c r="K446" t="s">
        <v>46</v>
      </c>
      <c r="L446" t="s">
        <v>2927</v>
      </c>
      <c r="M446">
        <v>0</v>
      </c>
      <c r="N446" t="s">
        <v>495</v>
      </c>
      <c r="O446" t="s">
        <v>1984</v>
      </c>
      <c r="P446">
        <v>16.8</v>
      </c>
      <c r="Q446" s="1">
        <v>45745</v>
      </c>
      <c r="R446" s="1">
        <v>45751</v>
      </c>
      <c r="S446" t="s">
        <v>2922</v>
      </c>
    </row>
    <row r="447" spans="1:19" x14ac:dyDescent="0.3">
      <c r="A447" s="1">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1">
        <v>45094</v>
      </c>
      <c r="R447" s="1">
        <v>45102</v>
      </c>
      <c r="S447" t="s">
        <v>2922</v>
      </c>
    </row>
    <row r="448" spans="1:19" x14ac:dyDescent="0.3">
      <c r="A448" s="1">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1">
        <v>45319</v>
      </c>
      <c r="R448" s="1">
        <v>45327</v>
      </c>
      <c r="S448" t="s">
        <v>2926</v>
      </c>
    </row>
    <row r="449" spans="1:19" x14ac:dyDescent="0.3">
      <c r="A449" s="1">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1">
        <v>44999</v>
      </c>
      <c r="R449" s="1">
        <v>45002</v>
      </c>
      <c r="S449" t="s">
        <v>2925</v>
      </c>
    </row>
    <row r="450" spans="1:19" x14ac:dyDescent="0.3">
      <c r="A450" s="1">
        <v>45666</v>
      </c>
      <c r="B450" t="s">
        <v>19</v>
      </c>
      <c r="C450" t="s">
        <v>24</v>
      </c>
      <c r="D450">
        <v>12</v>
      </c>
      <c r="E450">
        <v>148.66</v>
      </c>
      <c r="F450" t="s">
        <v>32</v>
      </c>
      <c r="G450" t="s">
        <v>35</v>
      </c>
      <c r="H450">
        <v>0</v>
      </c>
      <c r="I450" t="s">
        <v>41</v>
      </c>
      <c r="J450">
        <v>1783.92</v>
      </c>
      <c r="K450" t="s">
        <v>43</v>
      </c>
      <c r="L450" t="s">
        <v>2927</v>
      </c>
      <c r="M450">
        <v>1</v>
      </c>
      <c r="N450" t="s">
        <v>499</v>
      </c>
      <c r="O450" t="s">
        <v>1988</v>
      </c>
      <c r="P450">
        <v>27.16</v>
      </c>
      <c r="Q450" s="1">
        <v>45666</v>
      </c>
      <c r="R450" s="1">
        <v>45674</v>
      </c>
      <c r="S450" t="s">
        <v>2922</v>
      </c>
    </row>
    <row r="451" spans="1:19" x14ac:dyDescent="0.3">
      <c r="A451" s="1">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1">
        <v>45746</v>
      </c>
      <c r="R451" s="1">
        <v>45753</v>
      </c>
      <c r="S451" t="s">
        <v>2925</v>
      </c>
    </row>
    <row r="452" spans="1:19" x14ac:dyDescent="0.3">
      <c r="A452" s="1">
        <v>45222</v>
      </c>
      <c r="B452" t="s">
        <v>19</v>
      </c>
      <c r="C452" t="s">
        <v>29</v>
      </c>
      <c r="D452">
        <v>5</v>
      </c>
      <c r="E452">
        <v>334.37</v>
      </c>
      <c r="F452" t="s">
        <v>31</v>
      </c>
      <c r="G452" t="s">
        <v>36</v>
      </c>
      <c r="H452">
        <v>0.05</v>
      </c>
      <c r="I452" t="s">
        <v>40</v>
      </c>
      <c r="J452">
        <v>1588.2574999999999</v>
      </c>
      <c r="K452" t="s">
        <v>45</v>
      </c>
      <c r="L452" t="s">
        <v>2927</v>
      </c>
      <c r="M452">
        <v>0</v>
      </c>
      <c r="N452" t="s">
        <v>501</v>
      </c>
      <c r="O452" t="s">
        <v>1776</v>
      </c>
      <c r="P452">
        <v>32.130000000000003</v>
      </c>
      <c r="Q452" s="1">
        <v>45222</v>
      </c>
      <c r="R452" s="1">
        <v>45227</v>
      </c>
      <c r="S452" t="s">
        <v>2922</v>
      </c>
    </row>
    <row r="453" spans="1:19" x14ac:dyDescent="0.3">
      <c r="A453" s="1">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1">
        <v>45816</v>
      </c>
      <c r="R453" s="1">
        <v>45822</v>
      </c>
      <c r="S453" t="s">
        <v>2926</v>
      </c>
    </row>
    <row r="454" spans="1:19" x14ac:dyDescent="0.3">
      <c r="A454" s="1">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1">
        <v>45348</v>
      </c>
      <c r="R454" s="1">
        <v>45351</v>
      </c>
      <c r="S454" t="s">
        <v>2926</v>
      </c>
    </row>
    <row r="455" spans="1:19" x14ac:dyDescent="0.3">
      <c r="A455" s="1">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1">
        <v>45595</v>
      </c>
      <c r="R455" s="1">
        <v>45603</v>
      </c>
      <c r="S455" t="s">
        <v>2922</v>
      </c>
    </row>
    <row r="456" spans="1:19" x14ac:dyDescent="0.3">
      <c r="A456" s="1">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1">
        <v>45523</v>
      </c>
      <c r="R456" s="1">
        <v>45527</v>
      </c>
      <c r="S456" t="s">
        <v>2923</v>
      </c>
    </row>
    <row r="457" spans="1:19" x14ac:dyDescent="0.3">
      <c r="A457" s="1">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1">
        <v>45137</v>
      </c>
      <c r="R457" s="1">
        <v>45147</v>
      </c>
      <c r="S457" t="s">
        <v>2925</v>
      </c>
    </row>
    <row r="458" spans="1:19" x14ac:dyDescent="0.3">
      <c r="A458" s="1">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1">
        <v>45517</v>
      </c>
      <c r="R458" s="1">
        <v>45527</v>
      </c>
      <c r="S458" t="s">
        <v>2924</v>
      </c>
    </row>
    <row r="459" spans="1:19" x14ac:dyDescent="0.3">
      <c r="A459" s="1">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1">
        <v>45234</v>
      </c>
      <c r="R459" s="1">
        <v>45242</v>
      </c>
      <c r="S459" t="s">
        <v>2924</v>
      </c>
    </row>
    <row r="460" spans="1:19" x14ac:dyDescent="0.3">
      <c r="A460" s="1">
        <v>45813</v>
      </c>
      <c r="B460" t="s">
        <v>19</v>
      </c>
      <c r="C460" t="s">
        <v>30</v>
      </c>
      <c r="D460">
        <v>19</v>
      </c>
      <c r="E460">
        <v>491.15</v>
      </c>
      <c r="F460" t="s">
        <v>33</v>
      </c>
      <c r="G460" t="s">
        <v>36</v>
      </c>
      <c r="H460">
        <v>0</v>
      </c>
      <c r="I460" t="s">
        <v>39</v>
      </c>
      <c r="J460">
        <v>9331.85</v>
      </c>
      <c r="K460" t="s">
        <v>43</v>
      </c>
      <c r="L460" t="s">
        <v>2927</v>
      </c>
      <c r="M460">
        <v>0</v>
      </c>
      <c r="N460" t="s">
        <v>509</v>
      </c>
      <c r="O460" t="s">
        <v>1996</v>
      </c>
      <c r="P460">
        <v>48.68</v>
      </c>
      <c r="Q460" s="1">
        <v>45813</v>
      </c>
      <c r="R460" s="1">
        <v>45823</v>
      </c>
      <c r="S460" t="s">
        <v>2922</v>
      </c>
    </row>
    <row r="461" spans="1:19" x14ac:dyDescent="0.3">
      <c r="A461" s="1">
        <v>45100</v>
      </c>
      <c r="B461" t="s">
        <v>21</v>
      </c>
      <c r="C461" t="s">
        <v>30</v>
      </c>
      <c r="D461">
        <v>5</v>
      </c>
      <c r="E461">
        <v>360.34</v>
      </c>
      <c r="F461" t="s">
        <v>33</v>
      </c>
      <c r="G461" t="s">
        <v>35</v>
      </c>
      <c r="H461">
        <v>0</v>
      </c>
      <c r="I461" t="s">
        <v>40</v>
      </c>
      <c r="J461">
        <v>1801.7</v>
      </c>
      <c r="K461" t="s">
        <v>44</v>
      </c>
      <c r="L461" t="s">
        <v>2927</v>
      </c>
      <c r="M461">
        <v>0</v>
      </c>
      <c r="N461" t="s">
        <v>510</v>
      </c>
      <c r="O461" t="s">
        <v>1997</v>
      </c>
      <c r="P461">
        <v>33.76</v>
      </c>
      <c r="Q461" s="1">
        <v>45100</v>
      </c>
      <c r="R461" s="1">
        <v>45105</v>
      </c>
      <c r="S461" t="s">
        <v>2924</v>
      </c>
    </row>
    <row r="462" spans="1:19" x14ac:dyDescent="0.3">
      <c r="A462" s="1">
        <v>45556</v>
      </c>
      <c r="B462" t="s">
        <v>20</v>
      </c>
      <c r="C462" t="s">
        <v>24</v>
      </c>
      <c r="D462">
        <v>20</v>
      </c>
      <c r="E462">
        <v>296.8</v>
      </c>
      <c r="F462" t="s">
        <v>32</v>
      </c>
      <c r="G462" t="s">
        <v>36</v>
      </c>
      <c r="H462">
        <v>0.1</v>
      </c>
      <c r="I462" t="s">
        <v>39</v>
      </c>
      <c r="J462">
        <v>5342.4000000000005</v>
      </c>
      <c r="K462" t="s">
        <v>44</v>
      </c>
      <c r="L462" t="s">
        <v>2927</v>
      </c>
      <c r="M462">
        <v>0</v>
      </c>
      <c r="N462" t="s">
        <v>511</v>
      </c>
      <c r="O462" t="s">
        <v>1998</v>
      </c>
      <c r="P462">
        <v>19.57</v>
      </c>
      <c r="Q462" s="1">
        <v>45556</v>
      </c>
      <c r="R462" s="1">
        <v>45563</v>
      </c>
      <c r="S462" t="s">
        <v>2923</v>
      </c>
    </row>
    <row r="463" spans="1:19" x14ac:dyDescent="0.3">
      <c r="A463" s="1">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1">
        <v>45292</v>
      </c>
      <c r="R463" s="1">
        <v>45294</v>
      </c>
      <c r="S463" t="s">
        <v>2923</v>
      </c>
    </row>
    <row r="464" spans="1:19" x14ac:dyDescent="0.3">
      <c r="A464" s="1">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1">
        <v>45659</v>
      </c>
      <c r="R464" s="1">
        <v>45669</v>
      </c>
      <c r="S464" t="s">
        <v>2926</v>
      </c>
    </row>
    <row r="465" spans="1:19" x14ac:dyDescent="0.3">
      <c r="A465" s="1">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1">
        <v>45365</v>
      </c>
      <c r="R465" s="1">
        <v>45372</v>
      </c>
      <c r="S465" t="s">
        <v>2924</v>
      </c>
    </row>
    <row r="466" spans="1:19" x14ac:dyDescent="0.3">
      <c r="A466" s="1">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1">
        <v>45416</v>
      </c>
      <c r="R466" s="1">
        <v>45421</v>
      </c>
      <c r="S466" t="s">
        <v>2926</v>
      </c>
    </row>
    <row r="467" spans="1:19" x14ac:dyDescent="0.3">
      <c r="A467" s="1">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1">
        <v>45715</v>
      </c>
      <c r="R467" s="1">
        <v>45718</v>
      </c>
      <c r="S467" t="s">
        <v>2923</v>
      </c>
    </row>
    <row r="468" spans="1:19" x14ac:dyDescent="0.3">
      <c r="A468" s="1">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1">
        <v>45609</v>
      </c>
      <c r="R468" s="1">
        <v>45613</v>
      </c>
      <c r="S468" t="s">
        <v>2925</v>
      </c>
    </row>
    <row r="469" spans="1:19" x14ac:dyDescent="0.3">
      <c r="A469" s="1">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1">
        <v>45230</v>
      </c>
      <c r="R469" s="1">
        <v>45240</v>
      </c>
      <c r="S469" t="s">
        <v>2926</v>
      </c>
    </row>
    <row r="470" spans="1:19" x14ac:dyDescent="0.3">
      <c r="A470" s="1">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1">
        <v>45279</v>
      </c>
      <c r="R470" s="1">
        <v>45284</v>
      </c>
      <c r="S470" t="s">
        <v>2925</v>
      </c>
    </row>
    <row r="471" spans="1:19" x14ac:dyDescent="0.3">
      <c r="A471" s="1">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1">
        <v>45257</v>
      </c>
      <c r="R471" s="1">
        <v>45263</v>
      </c>
      <c r="S471" t="s">
        <v>2923</v>
      </c>
    </row>
    <row r="472" spans="1:19" x14ac:dyDescent="0.3">
      <c r="A472" s="1">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1">
        <v>45153</v>
      </c>
      <c r="R472" s="1">
        <v>45156</v>
      </c>
      <c r="S472" t="s">
        <v>2922</v>
      </c>
    </row>
    <row r="473" spans="1:19" x14ac:dyDescent="0.3">
      <c r="A473" s="1">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1">
        <v>44942</v>
      </c>
      <c r="R473" s="1">
        <v>44950</v>
      </c>
      <c r="S473" t="s">
        <v>2926</v>
      </c>
    </row>
    <row r="474" spans="1:19" x14ac:dyDescent="0.3">
      <c r="A474" s="1">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1">
        <v>45716</v>
      </c>
      <c r="R474" s="1">
        <v>45724</v>
      </c>
      <c r="S474" t="s">
        <v>2925</v>
      </c>
    </row>
    <row r="475" spans="1:19" x14ac:dyDescent="0.3">
      <c r="A475" s="1">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1">
        <v>45258</v>
      </c>
      <c r="R475" s="1">
        <v>45261</v>
      </c>
      <c r="S475" t="s">
        <v>2926</v>
      </c>
    </row>
    <row r="476" spans="1:19" x14ac:dyDescent="0.3">
      <c r="A476" s="1">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1">
        <v>45264</v>
      </c>
      <c r="R476" s="1">
        <v>45273</v>
      </c>
      <c r="S476" t="s">
        <v>2926</v>
      </c>
    </row>
    <row r="477" spans="1:19" x14ac:dyDescent="0.3">
      <c r="A477" s="1">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1">
        <v>45464</v>
      </c>
      <c r="R477" s="1">
        <v>45472</v>
      </c>
      <c r="S477" t="s">
        <v>2923</v>
      </c>
    </row>
    <row r="478" spans="1:19" x14ac:dyDescent="0.3">
      <c r="A478" s="1">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1">
        <v>45733</v>
      </c>
      <c r="R478" s="1">
        <v>45742</v>
      </c>
      <c r="S478" t="s">
        <v>2922</v>
      </c>
    </row>
    <row r="479" spans="1:19" x14ac:dyDescent="0.3">
      <c r="A479" s="1">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1">
        <v>45155</v>
      </c>
      <c r="R479" s="1">
        <v>45157</v>
      </c>
      <c r="S479" t="s">
        <v>2925</v>
      </c>
    </row>
    <row r="480" spans="1:19" x14ac:dyDescent="0.3">
      <c r="A480" s="1">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1">
        <v>45168</v>
      </c>
      <c r="R480" s="1">
        <v>45174</v>
      </c>
      <c r="S480" t="s">
        <v>2925</v>
      </c>
    </row>
    <row r="481" spans="1:19" x14ac:dyDescent="0.3">
      <c r="A481" s="1">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1">
        <v>45824</v>
      </c>
      <c r="R481" s="1">
        <v>45826</v>
      </c>
      <c r="S481" t="s">
        <v>2922</v>
      </c>
    </row>
    <row r="482" spans="1:19" x14ac:dyDescent="0.3">
      <c r="A482" s="1">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1">
        <v>45106</v>
      </c>
      <c r="R482" s="1">
        <v>45116</v>
      </c>
      <c r="S482" t="s">
        <v>2924</v>
      </c>
    </row>
    <row r="483" spans="1:19" x14ac:dyDescent="0.3">
      <c r="A483" s="1">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1">
        <v>45151</v>
      </c>
      <c r="R483" s="1">
        <v>45158</v>
      </c>
      <c r="S483" t="s">
        <v>2924</v>
      </c>
    </row>
    <row r="484" spans="1:19" x14ac:dyDescent="0.3">
      <c r="A484" s="1">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1">
        <v>45411</v>
      </c>
      <c r="R484" s="1">
        <v>45419</v>
      </c>
      <c r="S484" t="s">
        <v>2926</v>
      </c>
    </row>
    <row r="485" spans="1:19" x14ac:dyDescent="0.3">
      <c r="A485" s="1">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1">
        <v>45122</v>
      </c>
      <c r="R485" s="1">
        <v>45132</v>
      </c>
      <c r="S485" t="s">
        <v>2926</v>
      </c>
    </row>
    <row r="486" spans="1:19" x14ac:dyDescent="0.3">
      <c r="A486" s="1">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1">
        <v>45674</v>
      </c>
      <c r="R486" s="1">
        <v>45680</v>
      </c>
      <c r="S486" t="s">
        <v>2924</v>
      </c>
    </row>
    <row r="487" spans="1:19" x14ac:dyDescent="0.3">
      <c r="A487" s="1">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1">
        <v>45709</v>
      </c>
      <c r="R487" s="1">
        <v>45719</v>
      </c>
      <c r="S487" t="s">
        <v>2922</v>
      </c>
    </row>
    <row r="488" spans="1:19" x14ac:dyDescent="0.3">
      <c r="A488" s="1">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1">
        <v>45126</v>
      </c>
      <c r="R488" s="1">
        <v>45133</v>
      </c>
      <c r="S488" t="s">
        <v>2926</v>
      </c>
    </row>
    <row r="489" spans="1:19" x14ac:dyDescent="0.3">
      <c r="A489" s="1">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1">
        <v>45564</v>
      </c>
      <c r="R489" s="1">
        <v>45571</v>
      </c>
      <c r="S489" t="s">
        <v>2926</v>
      </c>
    </row>
    <row r="490" spans="1:19" x14ac:dyDescent="0.3">
      <c r="A490" s="1">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1">
        <v>45582</v>
      </c>
      <c r="R490" s="1">
        <v>45586</v>
      </c>
      <c r="S490" t="s">
        <v>2922</v>
      </c>
    </row>
    <row r="491" spans="1:19" x14ac:dyDescent="0.3">
      <c r="A491" s="1">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1">
        <v>45819</v>
      </c>
      <c r="R491" s="1">
        <v>45825</v>
      </c>
      <c r="S491" t="s">
        <v>2922</v>
      </c>
    </row>
    <row r="492" spans="1:19" x14ac:dyDescent="0.3">
      <c r="A492" s="1">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1">
        <v>45310</v>
      </c>
      <c r="R492" s="1">
        <v>45320</v>
      </c>
      <c r="S492" t="s">
        <v>2926</v>
      </c>
    </row>
    <row r="493" spans="1:19" x14ac:dyDescent="0.3">
      <c r="A493" s="1">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1">
        <v>45263</v>
      </c>
      <c r="R493" s="1">
        <v>45265</v>
      </c>
      <c r="S493" t="s">
        <v>2922</v>
      </c>
    </row>
    <row r="494" spans="1:19" x14ac:dyDescent="0.3">
      <c r="A494" s="1">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1">
        <v>45462</v>
      </c>
      <c r="R494" s="1">
        <v>45470</v>
      </c>
      <c r="S494" t="s">
        <v>2925</v>
      </c>
    </row>
    <row r="495" spans="1:19" x14ac:dyDescent="0.3">
      <c r="A495" s="1">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1">
        <v>45581</v>
      </c>
      <c r="R495" s="1">
        <v>45586</v>
      </c>
      <c r="S495" t="s">
        <v>2926</v>
      </c>
    </row>
    <row r="496" spans="1:19" x14ac:dyDescent="0.3">
      <c r="A496" s="1">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1">
        <v>45680</v>
      </c>
      <c r="R496" s="1">
        <v>45684</v>
      </c>
      <c r="S496" t="s">
        <v>2922</v>
      </c>
    </row>
    <row r="497" spans="1:19" x14ac:dyDescent="0.3">
      <c r="A497" s="1">
        <v>45201</v>
      </c>
      <c r="B497" t="s">
        <v>22</v>
      </c>
      <c r="C497" t="s">
        <v>24</v>
      </c>
      <c r="D497">
        <v>9</v>
      </c>
      <c r="E497">
        <v>146.72</v>
      </c>
      <c r="F497" t="s">
        <v>32</v>
      </c>
      <c r="G497" t="s">
        <v>35</v>
      </c>
      <c r="H497">
        <v>0.1</v>
      </c>
      <c r="I497" t="s">
        <v>41</v>
      </c>
      <c r="J497">
        <v>1188.432</v>
      </c>
      <c r="K497" t="s">
        <v>45</v>
      </c>
      <c r="L497" t="s">
        <v>2927</v>
      </c>
      <c r="M497">
        <v>0</v>
      </c>
      <c r="N497" t="s">
        <v>546</v>
      </c>
      <c r="O497" t="s">
        <v>2030</v>
      </c>
      <c r="P497">
        <v>10.45</v>
      </c>
      <c r="Q497" s="1">
        <v>45201</v>
      </c>
      <c r="R497" s="1">
        <v>45209</v>
      </c>
      <c r="S497" t="s">
        <v>2925</v>
      </c>
    </row>
    <row r="498" spans="1:19" x14ac:dyDescent="0.3">
      <c r="A498" s="1">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1">
        <v>45235</v>
      </c>
      <c r="R498" s="1">
        <v>45237</v>
      </c>
      <c r="S498" t="s">
        <v>2922</v>
      </c>
    </row>
    <row r="499" spans="1:19" x14ac:dyDescent="0.3">
      <c r="A499" s="1">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1">
        <v>45095</v>
      </c>
      <c r="R499" s="1">
        <v>45100</v>
      </c>
      <c r="S499" t="s">
        <v>2923</v>
      </c>
    </row>
    <row r="500" spans="1:19" x14ac:dyDescent="0.3">
      <c r="A500" s="1">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1">
        <v>45488</v>
      </c>
      <c r="R500" s="1">
        <v>45494</v>
      </c>
      <c r="S500" t="s">
        <v>2925</v>
      </c>
    </row>
    <row r="501" spans="1:19" x14ac:dyDescent="0.3">
      <c r="A501" s="1">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1">
        <v>45457</v>
      </c>
      <c r="R501" s="1">
        <v>45466</v>
      </c>
      <c r="S501" t="s">
        <v>2925</v>
      </c>
    </row>
    <row r="502" spans="1:19" x14ac:dyDescent="0.3">
      <c r="A502" s="1">
        <v>45387</v>
      </c>
      <c r="B502" t="s">
        <v>19</v>
      </c>
      <c r="C502" t="s">
        <v>28</v>
      </c>
      <c r="D502">
        <v>15</v>
      </c>
      <c r="E502">
        <v>405.95</v>
      </c>
      <c r="F502" t="s">
        <v>34</v>
      </c>
      <c r="G502" t="s">
        <v>35</v>
      </c>
      <c r="H502">
        <v>0.15</v>
      </c>
      <c r="I502" t="s">
        <v>37</v>
      </c>
      <c r="J502">
        <v>5175.8625000000002</v>
      </c>
      <c r="K502" t="s">
        <v>44</v>
      </c>
      <c r="L502" t="s">
        <v>2927</v>
      </c>
      <c r="M502">
        <v>0</v>
      </c>
      <c r="N502" t="s">
        <v>551</v>
      </c>
      <c r="O502" t="s">
        <v>2034</v>
      </c>
      <c r="P502">
        <v>32.04</v>
      </c>
      <c r="Q502" s="1">
        <v>45387</v>
      </c>
      <c r="R502" s="1">
        <v>45392</v>
      </c>
      <c r="S502" t="s">
        <v>2922</v>
      </c>
    </row>
    <row r="503" spans="1:19" x14ac:dyDescent="0.3">
      <c r="A503" s="1">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1">
        <v>44984</v>
      </c>
      <c r="R503" s="1">
        <v>44992</v>
      </c>
      <c r="S503" t="s">
        <v>2924</v>
      </c>
    </row>
    <row r="504" spans="1:19" x14ac:dyDescent="0.3">
      <c r="A504" s="1">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1">
        <v>45138</v>
      </c>
      <c r="R504" s="1">
        <v>45147</v>
      </c>
      <c r="S504" t="s">
        <v>2926</v>
      </c>
    </row>
    <row r="505" spans="1:19" x14ac:dyDescent="0.3">
      <c r="A505" s="1">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1">
        <v>44988</v>
      </c>
      <c r="R505" s="1">
        <v>44995</v>
      </c>
      <c r="S505" t="s">
        <v>2926</v>
      </c>
    </row>
    <row r="506" spans="1:19" x14ac:dyDescent="0.3">
      <c r="A506" s="1">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1">
        <v>45042</v>
      </c>
      <c r="R506" s="1">
        <v>45044</v>
      </c>
      <c r="S506" t="s">
        <v>2923</v>
      </c>
    </row>
    <row r="507" spans="1:19" x14ac:dyDescent="0.3">
      <c r="A507" s="1">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1">
        <v>45584</v>
      </c>
      <c r="R507" s="1">
        <v>45592</v>
      </c>
      <c r="S507" t="s">
        <v>2922</v>
      </c>
    </row>
    <row r="508" spans="1:19" x14ac:dyDescent="0.3">
      <c r="A508" s="1">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1">
        <v>45473</v>
      </c>
      <c r="R508" s="1">
        <v>45477</v>
      </c>
      <c r="S508" t="s">
        <v>2925</v>
      </c>
    </row>
    <row r="509" spans="1:19" x14ac:dyDescent="0.3">
      <c r="A509" s="1">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1">
        <v>45576</v>
      </c>
      <c r="R509" s="1">
        <v>45584</v>
      </c>
      <c r="S509" t="s">
        <v>2926</v>
      </c>
    </row>
    <row r="510" spans="1:19" x14ac:dyDescent="0.3">
      <c r="A510" s="1">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1">
        <v>45822</v>
      </c>
      <c r="R510" s="1">
        <v>45831</v>
      </c>
      <c r="S510" t="s">
        <v>2925</v>
      </c>
    </row>
    <row r="511" spans="1:19" x14ac:dyDescent="0.3">
      <c r="A511" s="1">
        <v>45648</v>
      </c>
      <c r="B511" t="s">
        <v>19</v>
      </c>
      <c r="C511" t="s">
        <v>24</v>
      </c>
      <c r="D511">
        <v>18</v>
      </c>
      <c r="E511">
        <v>500.44</v>
      </c>
      <c r="F511" t="s">
        <v>34</v>
      </c>
      <c r="G511" t="s">
        <v>35</v>
      </c>
      <c r="H511">
        <v>0.1</v>
      </c>
      <c r="I511" t="s">
        <v>42</v>
      </c>
      <c r="J511">
        <v>8107.1280000000006</v>
      </c>
      <c r="K511" t="s">
        <v>45</v>
      </c>
      <c r="L511" t="s">
        <v>2927</v>
      </c>
      <c r="M511">
        <v>0</v>
      </c>
      <c r="N511" t="s">
        <v>560</v>
      </c>
      <c r="O511" t="s">
        <v>2042</v>
      </c>
      <c r="P511">
        <v>8.8699999999999992</v>
      </c>
      <c r="Q511" s="1">
        <v>45648</v>
      </c>
      <c r="R511" s="1">
        <v>45656</v>
      </c>
      <c r="S511" t="s">
        <v>2922</v>
      </c>
    </row>
    <row r="512" spans="1:19" x14ac:dyDescent="0.3">
      <c r="A512" s="1">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1">
        <v>45404</v>
      </c>
      <c r="R512" s="1">
        <v>45407</v>
      </c>
      <c r="S512" t="s">
        <v>2926</v>
      </c>
    </row>
    <row r="513" spans="1:19" x14ac:dyDescent="0.3">
      <c r="A513" s="1">
        <v>45682</v>
      </c>
      <c r="B513" t="s">
        <v>21</v>
      </c>
      <c r="C513" t="s">
        <v>27</v>
      </c>
      <c r="D513">
        <v>3</v>
      </c>
      <c r="E513">
        <v>365.54</v>
      </c>
      <c r="F513" t="s">
        <v>31</v>
      </c>
      <c r="G513" t="s">
        <v>36</v>
      </c>
      <c r="H513">
        <v>0.15</v>
      </c>
      <c r="I513" t="s">
        <v>39</v>
      </c>
      <c r="J513">
        <v>932.12700000000007</v>
      </c>
      <c r="K513" t="s">
        <v>43</v>
      </c>
      <c r="L513" t="s">
        <v>2927</v>
      </c>
      <c r="M513">
        <v>0</v>
      </c>
      <c r="N513" t="s">
        <v>562</v>
      </c>
      <c r="O513" t="s">
        <v>2044</v>
      </c>
      <c r="P513">
        <v>45.89</v>
      </c>
      <c r="Q513" s="1">
        <v>45682</v>
      </c>
      <c r="R513" s="1">
        <v>45686</v>
      </c>
      <c r="S513" t="s">
        <v>2924</v>
      </c>
    </row>
    <row r="514" spans="1:19" x14ac:dyDescent="0.3">
      <c r="A514" s="1">
        <v>45609</v>
      </c>
      <c r="B514" t="s">
        <v>21</v>
      </c>
      <c r="C514" t="s">
        <v>24</v>
      </c>
      <c r="D514">
        <v>5</v>
      </c>
      <c r="E514">
        <v>270.13</v>
      </c>
      <c r="F514" t="s">
        <v>33</v>
      </c>
      <c r="G514" t="s">
        <v>36</v>
      </c>
      <c r="H514">
        <v>0.15</v>
      </c>
      <c r="I514" t="s">
        <v>37</v>
      </c>
      <c r="J514">
        <v>1148.0525</v>
      </c>
      <c r="K514" t="s">
        <v>45</v>
      </c>
      <c r="L514" t="s">
        <v>2927</v>
      </c>
      <c r="M514">
        <v>0</v>
      </c>
      <c r="N514" t="s">
        <v>563</v>
      </c>
      <c r="O514" t="s">
        <v>2045</v>
      </c>
      <c r="P514">
        <v>15.74</v>
      </c>
      <c r="Q514" s="1">
        <v>45609</v>
      </c>
      <c r="R514" s="1">
        <v>45615</v>
      </c>
      <c r="S514" t="s">
        <v>2924</v>
      </c>
    </row>
    <row r="515" spans="1:19" x14ac:dyDescent="0.3">
      <c r="A515" s="1">
        <v>45001</v>
      </c>
      <c r="B515" t="s">
        <v>19</v>
      </c>
      <c r="C515" t="s">
        <v>29</v>
      </c>
      <c r="D515">
        <v>2</v>
      </c>
      <c r="E515">
        <v>480.15</v>
      </c>
      <c r="F515" t="s">
        <v>34</v>
      </c>
      <c r="G515" t="s">
        <v>36</v>
      </c>
      <c r="H515">
        <v>0.15</v>
      </c>
      <c r="I515" t="s">
        <v>41</v>
      </c>
      <c r="J515">
        <v>816.255</v>
      </c>
      <c r="K515" t="s">
        <v>43</v>
      </c>
      <c r="L515" t="s">
        <v>2927</v>
      </c>
      <c r="M515">
        <v>0</v>
      </c>
      <c r="N515" t="s">
        <v>564</v>
      </c>
      <c r="O515" t="s">
        <v>2046</v>
      </c>
      <c r="P515">
        <v>42.07</v>
      </c>
      <c r="Q515" s="1">
        <v>45001</v>
      </c>
      <c r="R515" s="1">
        <v>45006</v>
      </c>
      <c r="S515" t="s">
        <v>2922</v>
      </c>
    </row>
    <row r="516" spans="1:19" x14ac:dyDescent="0.3">
      <c r="A516" s="1">
        <v>45052</v>
      </c>
      <c r="B516" t="s">
        <v>21</v>
      </c>
      <c r="C516" t="s">
        <v>24</v>
      </c>
      <c r="D516">
        <v>18</v>
      </c>
      <c r="E516">
        <v>414.77</v>
      </c>
      <c r="F516" t="s">
        <v>33</v>
      </c>
      <c r="G516" t="s">
        <v>35</v>
      </c>
      <c r="H516">
        <v>0.1</v>
      </c>
      <c r="I516" t="s">
        <v>37</v>
      </c>
      <c r="J516">
        <v>6719.2739999999994</v>
      </c>
      <c r="K516" t="s">
        <v>45</v>
      </c>
      <c r="L516" t="s">
        <v>2927</v>
      </c>
      <c r="M516">
        <v>1</v>
      </c>
      <c r="N516" t="s">
        <v>565</v>
      </c>
      <c r="O516" t="s">
        <v>2047</v>
      </c>
      <c r="P516">
        <v>28.55</v>
      </c>
      <c r="Q516" s="1">
        <v>45052</v>
      </c>
      <c r="R516" s="1">
        <v>45061</v>
      </c>
      <c r="S516" t="s">
        <v>2924</v>
      </c>
    </row>
    <row r="517" spans="1:19" x14ac:dyDescent="0.3">
      <c r="A517" s="1">
        <v>45611</v>
      </c>
      <c r="B517" t="s">
        <v>19</v>
      </c>
      <c r="C517" t="s">
        <v>28</v>
      </c>
      <c r="D517">
        <v>10</v>
      </c>
      <c r="E517">
        <v>98.24</v>
      </c>
      <c r="F517" t="s">
        <v>33</v>
      </c>
      <c r="G517" t="s">
        <v>35</v>
      </c>
      <c r="H517">
        <v>0</v>
      </c>
      <c r="I517" t="s">
        <v>39</v>
      </c>
      <c r="J517">
        <v>982.4</v>
      </c>
      <c r="K517" t="s">
        <v>45</v>
      </c>
      <c r="L517" t="s">
        <v>48</v>
      </c>
      <c r="M517">
        <v>1</v>
      </c>
      <c r="N517" t="s">
        <v>566</v>
      </c>
      <c r="O517" t="s">
        <v>1835</v>
      </c>
      <c r="P517">
        <v>21.01</v>
      </c>
      <c r="Q517" s="1">
        <v>45611</v>
      </c>
      <c r="R517" s="1">
        <v>45613</v>
      </c>
      <c r="S517" t="s">
        <v>2922</v>
      </c>
    </row>
    <row r="518" spans="1:19" x14ac:dyDescent="0.3">
      <c r="A518" s="1">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1">
        <v>45471</v>
      </c>
      <c r="R518" s="1">
        <v>45478</v>
      </c>
      <c r="S518" t="s">
        <v>2925</v>
      </c>
    </row>
    <row r="519" spans="1:19" x14ac:dyDescent="0.3">
      <c r="A519" s="1">
        <v>45788</v>
      </c>
      <c r="B519" t="s">
        <v>22</v>
      </c>
      <c r="C519" t="s">
        <v>28</v>
      </c>
      <c r="D519">
        <v>5</v>
      </c>
      <c r="E519">
        <v>136.13</v>
      </c>
      <c r="F519" t="s">
        <v>33</v>
      </c>
      <c r="G519" t="s">
        <v>36</v>
      </c>
      <c r="H519">
        <v>0.15</v>
      </c>
      <c r="I519" t="s">
        <v>40</v>
      </c>
      <c r="J519">
        <v>578.55250000000001</v>
      </c>
      <c r="K519" t="s">
        <v>43</v>
      </c>
      <c r="L519" t="s">
        <v>2927</v>
      </c>
      <c r="M519">
        <v>0</v>
      </c>
      <c r="N519" t="s">
        <v>568</v>
      </c>
      <c r="O519" t="s">
        <v>2049</v>
      </c>
      <c r="P519">
        <v>10.02</v>
      </c>
      <c r="Q519" s="1">
        <v>45788</v>
      </c>
      <c r="R519" s="1">
        <v>45797</v>
      </c>
      <c r="S519" t="s">
        <v>2925</v>
      </c>
    </row>
    <row r="520" spans="1:19" x14ac:dyDescent="0.3">
      <c r="A520" s="1">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1">
        <v>44983</v>
      </c>
      <c r="R520" s="1">
        <v>44989</v>
      </c>
      <c r="S520" t="s">
        <v>2925</v>
      </c>
    </row>
    <row r="521" spans="1:19" x14ac:dyDescent="0.3">
      <c r="A521" s="1">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1">
        <v>45412</v>
      </c>
      <c r="R521" s="1">
        <v>45419</v>
      </c>
      <c r="S521" t="s">
        <v>2923</v>
      </c>
    </row>
    <row r="522" spans="1:19" x14ac:dyDescent="0.3">
      <c r="A522" s="1">
        <v>45727</v>
      </c>
      <c r="B522" t="s">
        <v>19</v>
      </c>
      <c r="C522" t="s">
        <v>24</v>
      </c>
      <c r="D522">
        <v>6</v>
      </c>
      <c r="E522">
        <v>138.26</v>
      </c>
      <c r="F522" t="s">
        <v>31</v>
      </c>
      <c r="G522" t="s">
        <v>36</v>
      </c>
      <c r="H522">
        <v>0.15</v>
      </c>
      <c r="I522" t="s">
        <v>37</v>
      </c>
      <c r="J522">
        <v>705.12599999999998</v>
      </c>
      <c r="K522" t="s">
        <v>43</v>
      </c>
      <c r="L522" t="s">
        <v>2927</v>
      </c>
      <c r="M522">
        <v>1</v>
      </c>
      <c r="N522" t="s">
        <v>571</v>
      </c>
      <c r="O522" t="s">
        <v>2052</v>
      </c>
      <c r="P522">
        <v>31.4</v>
      </c>
      <c r="Q522" s="1">
        <v>45727</v>
      </c>
      <c r="R522" s="1">
        <v>45729</v>
      </c>
      <c r="S522" t="s">
        <v>2922</v>
      </c>
    </row>
    <row r="523" spans="1:19" x14ac:dyDescent="0.3">
      <c r="A523" s="1">
        <v>45838</v>
      </c>
      <c r="B523" t="s">
        <v>19</v>
      </c>
      <c r="C523" t="s">
        <v>25</v>
      </c>
      <c r="D523">
        <v>12</v>
      </c>
      <c r="E523">
        <v>487.57</v>
      </c>
      <c r="F523" t="s">
        <v>32</v>
      </c>
      <c r="G523" t="s">
        <v>35</v>
      </c>
      <c r="H523">
        <v>0.05</v>
      </c>
      <c r="I523" t="s">
        <v>37</v>
      </c>
      <c r="J523">
        <v>5558.2979999999998</v>
      </c>
      <c r="K523" t="s">
        <v>47</v>
      </c>
      <c r="L523" t="s">
        <v>2927</v>
      </c>
      <c r="M523">
        <v>0</v>
      </c>
      <c r="N523" t="s">
        <v>572</v>
      </c>
      <c r="O523" t="s">
        <v>2053</v>
      </c>
      <c r="P523">
        <v>37.33</v>
      </c>
      <c r="Q523" s="1">
        <v>45838</v>
      </c>
      <c r="R523" s="1">
        <v>45848</v>
      </c>
      <c r="S523" t="s">
        <v>2922</v>
      </c>
    </row>
    <row r="524" spans="1:19" x14ac:dyDescent="0.3">
      <c r="A524" s="1">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1">
        <v>45445</v>
      </c>
      <c r="R524" s="1">
        <v>45451</v>
      </c>
      <c r="S524" t="s">
        <v>2924</v>
      </c>
    </row>
    <row r="525" spans="1:19" x14ac:dyDescent="0.3">
      <c r="A525" s="1">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1">
        <v>45536</v>
      </c>
      <c r="R525" s="1">
        <v>45540</v>
      </c>
      <c r="S525" t="s">
        <v>2923</v>
      </c>
    </row>
    <row r="526" spans="1:19" x14ac:dyDescent="0.3">
      <c r="A526" s="1">
        <v>45668</v>
      </c>
      <c r="B526" t="s">
        <v>20</v>
      </c>
      <c r="C526" t="s">
        <v>24</v>
      </c>
      <c r="D526">
        <v>6</v>
      </c>
      <c r="E526">
        <v>429.45</v>
      </c>
      <c r="F526" t="s">
        <v>31</v>
      </c>
      <c r="G526" t="s">
        <v>36</v>
      </c>
      <c r="H526">
        <v>0.1</v>
      </c>
      <c r="I526" t="s">
        <v>38</v>
      </c>
      <c r="J526">
        <v>2319.0300000000002</v>
      </c>
      <c r="K526" t="s">
        <v>47</v>
      </c>
      <c r="L526" t="s">
        <v>2927</v>
      </c>
      <c r="M526">
        <v>0</v>
      </c>
      <c r="N526" t="s">
        <v>575</v>
      </c>
      <c r="O526" t="s">
        <v>2056</v>
      </c>
      <c r="P526">
        <v>47.18</v>
      </c>
      <c r="Q526" s="1">
        <v>45668</v>
      </c>
      <c r="R526" s="1">
        <v>45675</v>
      </c>
      <c r="S526" t="s">
        <v>2923</v>
      </c>
    </row>
    <row r="527" spans="1:19" x14ac:dyDescent="0.3">
      <c r="A527" s="1">
        <v>45747</v>
      </c>
      <c r="B527" t="s">
        <v>20</v>
      </c>
      <c r="C527" t="s">
        <v>25</v>
      </c>
      <c r="D527">
        <v>1</v>
      </c>
      <c r="E527">
        <v>476</v>
      </c>
      <c r="F527" t="s">
        <v>32</v>
      </c>
      <c r="G527" t="s">
        <v>35</v>
      </c>
      <c r="H527">
        <v>0.15</v>
      </c>
      <c r="I527" t="s">
        <v>40</v>
      </c>
      <c r="J527">
        <v>404.6</v>
      </c>
      <c r="K527" t="s">
        <v>47</v>
      </c>
      <c r="L527" t="s">
        <v>48</v>
      </c>
      <c r="M527">
        <v>0</v>
      </c>
      <c r="N527" t="s">
        <v>576</v>
      </c>
      <c r="O527" t="s">
        <v>2057</v>
      </c>
      <c r="P527">
        <v>18.95</v>
      </c>
      <c r="Q527" s="1">
        <v>45747</v>
      </c>
      <c r="R527" s="1">
        <v>45750</v>
      </c>
      <c r="S527" t="s">
        <v>2923</v>
      </c>
    </row>
    <row r="528" spans="1:19" x14ac:dyDescent="0.3">
      <c r="A528" s="1">
        <v>45624</v>
      </c>
      <c r="B528" t="s">
        <v>20</v>
      </c>
      <c r="C528" t="s">
        <v>25</v>
      </c>
      <c r="D528">
        <v>13</v>
      </c>
      <c r="E528">
        <v>141.26</v>
      </c>
      <c r="F528" t="s">
        <v>31</v>
      </c>
      <c r="G528" t="s">
        <v>36</v>
      </c>
      <c r="H528">
        <v>0</v>
      </c>
      <c r="I528" t="s">
        <v>39</v>
      </c>
      <c r="J528">
        <v>1836.38</v>
      </c>
      <c r="K528" t="s">
        <v>43</v>
      </c>
      <c r="L528" t="s">
        <v>2927</v>
      </c>
      <c r="M528">
        <v>0</v>
      </c>
      <c r="N528" t="s">
        <v>577</v>
      </c>
      <c r="O528" t="s">
        <v>1871</v>
      </c>
      <c r="P528">
        <v>23.68</v>
      </c>
      <c r="Q528" s="1">
        <v>45624</v>
      </c>
      <c r="R528" s="1">
        <v>45631</v>
      </c>
      <c r="S528" t="s">
        <v>2923</v>
      </c>
    </row>
    <row r="529" spans="1:19" x14ac:dyDescent="0.3">
      <c r="A529" s="1">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1">
        <v>45112</v>
      </c>
      <c r="R529" s="1">
        <v>45114</v>
      </c>
      <c r="S529" t="s">
        <v>2924</v>
      </c>
    </row>
    <row r="530" spans="1:19" x14ac:dyDescent="0.3">
      <c r="A530" s="1">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1">
        <v>45589</v>
      </c>
      <c r="R530" s="1">
        <v>45599</v>
      </c>
      <c r="S530" t="s">
        <v>2926</v>
      </c>
    </row>
    <row r="531" spans="1:19" x14ac:dyDescent="0.3">
      <c r="A531" s="1">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1">
        <v>45755</v>
      </c>
      <c r="R531" s="1">
        <v>45763</v>
      </c>
      <c r="S531" t="s">
        <v>2924</v>
      </c>
    </row>
    <row r="532" spans="1:19" x14ac:dyDescent="0.3">
      <c r="A532" s="1">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1">
        <v>45448</v>
      </c>
      <c r="R532" s="1">
        <v>45453</v>
      </c>
      <c r="S532" t="s">
        <v>2922</v>
      </c>
    </row>
    <row r="533" spans="1:19" x14ac:dyDescent="0.3">
      <c r="A533" s="1">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1">
        <v>45680</v>
      </c>
      <c r="R533" s="1">
        <v>45686</v>
      </c>
      <c r="S533" t="s">
        <v>2926</v>
      </c>
    </row>
    <row r="534" spans="1:19" x14ac:dyDescent="0.3">
      <c r="A534" s="1">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1">
        <v>45600</v>
      </c>
      <c r="R534" s="1">
        <v>45608</v>
      </c>
      <c r="S534" t="s">
        <v>2925</v>
      </c>
    </row>
    <row r="535" spans="1:19" x14ac:dyDescent="0.3">
      <c r="A535" s="1">
        <v>45292</v>
      </c>
      <c r="B535" t="s">
        <v>23</v>
      </c>
      <c r="C535" t="s">
        <v>30</v>
      </c>
      <c r="D535">
        <v>13</v>
      </c>
      <c r="E535">
        <v>204.67</v>
      </c>
      <c r="F535" t="s">
        <v>32</v>
      </c>
      <c r="G535" t="s">
        <v>36</v>
      </c>
      <c r="H535">
        <v>0.15</v>
      </c>
      <c r="I535" t="s">
        <v>38</v>
      </c>
      <c r="J535">
        <v>2261.6035000000002</v>
      </c>
      <c r="K535" t="s">
        <v>43</v>
      </c>
      <c r="L535" t="s">
        <v>2927</v>
      </c>
      <c r="M535">
        <v>0</v>
      </c>
      <c r="N535" t="s">
        <v>584</v>
      </c>
      <c r="O535" t="s">
        <v>2063</v>
      </c>
      <c r="P535">
        <v>6.76</v>
      </c>
      <c r="Q535" s="1">
        <v>45292</v>
      </c>
      <c r="R535" s="1">
        <v>45296</v>
      </c>
      <c r="S535" t="s">
        <v>2926</v>
      </c>
    </row>
    <row r="536" spans="1:19" x14ac:dyDescent="0.3">
      <c r="A536" s="1">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1">
        <v>45391</v>
      </c>
      <c r="R536" s="1">
        <v>45399</v>
      </c>
      <c r="S536" t="s">
        <v>2925</v>
      </c>
    </row>
    <row r="537" spans="1:19" x14ac:dyDescent="0.3">
      <c r="A537" s="1">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1">
        <v>45674</v>
      </c>
      <c r="R537" s="1">
        <v>45682</v>
      </c>
      <c r="S537" t="s">
        <v>2924</v>
      </c>
    </row>
    <row r="538" spans="1:19" x14ac:dyDescent="0.3">
      <c r="A538" s="1">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1">
        <v>45557</v>
      </c>
      <c r="R538" s="1">
        <v>45564</v>
      </c>
      <c r="S538" t="s">
        <v>2922</v>
      </c>
    </row>
    <row r="539" spans="1:19" x14ac:dyDescent="0.3">
      <c r="A539" s="1">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1">
        <v>44946</v>
      </c>
      <c r="R539" s="1">
        <v>44951</v>
      </c>
      <c r="S539" t="s">
        <v>2922</v>
      </c>
    </row>
    <row r="540" spans="1:19" x14ac:dyDescent="0.3">
      <c r="A540" s="1">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1">
        <v>45303</v>
      </c>
      <c r="R540" s="1">
        <v>45313</v>
      </c>
      <c r="S540" t="s">
        <v>2924</v>
      </c>
    </row>
    <row r="541" spans="1:19" x14ac:dyDescent="0.3">
      <c r="A541" s="1">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1">
        <v>45390</v>
      </c>
      <c r="R541" s="1">
        <v>45397</v>
      </c>
      <c r="S541" t="s">
        <v>2925</v>
      </c>
    </row>
    <row r="542" spans="1:19" x14ac:dyDescent="0.3">
      <c r="A542" s="1">
        <v>45043</v>
      </c>
      <c r="B542" t="s">
        <v>22</v>
      </c>
      <c r="C542" t="s">
        <v>24</v>
      </c>
      <c r="D542">
        <v>9</v>
      </c>
      <c r="E542">
        <v>554.48</v>
      </c>
      <c r="F542" t="s">
        <v>33</v>
      </c>
      <c r="G542" t="s">
        <v>35</v>
      </c>
      <c r="H542">
        <v>0</v>
      </c>
      <c r="I542" t="s">
        <v>40</v>
      </c>
      <c r="J542">
        <v>4990.32</v>
      </c>
      <c r="K542" t="s">
        <v>43</v>
      </c>
      <c r="L542" t="s">
        <v>2927</v>
      </c>
      <c r="M542">
        <v>0</v>
      </c>
      <c r="N542" t="s">
        <v>591</v>
      </c>
      <c r="O542" t="s">
        <v>2070</v>
      </c>
      <c r="P542">
        <v>48.26</v>
      </c>
      <c r="Q542" s="1">
        <v>45043</v>
      </c>
      <c r="R542" s="1">
        <v>45047</v>
      </c>
      <c r="S542" t="s">
        <v>2925</v>
      </c>
    </row>
    <row r="543" spans="1:19" x14ac:dyDescent="0.3">
      <c r="A543" s="1">
        <v>45490</v>
      </c>
      <c r="B543" t="s">
        <v>21</v>
      </c>
      <c r="C543" t="s">
        <v>25</v>
      </c>
      <c r="D543">
        <v>4</v>
      </c>
      <c r="E543">
        <v>375.96</v>
      </c>
      <c r="F543" t="s">
        <v>33</v>
      </c>
      <c r="G543" t="s">
        <v>36</v>
      </c>
      <c r="H543">
        <v>0.15</v>
      </c>
      <c r="I543" t="s">
        <v>40</v>
      </c>
      <c r="J543">
        <v>1278.2639999999999</v>
      </c>
      <c r="K543" t="s">
        <v>46</v>
      </c>
      <c r="L543" t="s">
        <v>2927</v>
      </c>
      <c r="M543">
        <v>0</v>
      </c>
      <c r="N543" t="s">
        <v>592</v>
      </c>
      <c r="O543" t="s">
        <v>2071</v>
      </c>
      <c r="P543">
        <v>44.99</v>
      </c>
      <c r="Q543" s="1">
        <v>45490</v>
      </c>
      <c r="R543" s="1">
        <v>45498</v>
      </c>
      <c r="S543" t="s">
        <v>2924</v>
      </c>
    </row>
    <row r="544" spans="1:19" x14ac:dyDescent="0.3">
      <c r="A544" s="1">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1">
        <v>45339</v>
      </c>
      <c r="R544" s="1">
        <v>45345</v>
      </c>
      <c r="S544" t="s">
        <v>2925</v>
      </c>
    </row>
    <row r="545" spans="1:19" x14ac:dyDescent="0.3">
      <c r="A545" s="1">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1">
        <v>45316</v>
      </c>
      <c r="R545" s="1">
        <v>45324</v>
      </c>
      <c r="S545" t="s">
        <v>2923</v>
      </c>
    </row>
    <row r="546" spans="1:19" x14ac:dyDescent="0.3">
      <c r="A546" s="1">
        <v>45375</v>
      </c>
      <c r="B546" t="s">
        <v>22</v>
      </c>
      <c r="C546" t="s">
        <v>24</v>
      </c>
      <c r="D546">
        <v>7</v>
      </c>
      <c r="E546">
        <v>140.53</v>
      </c>
      <c r="F546" t="s">
        <v>34</v>
      </c>
      <c r="G546" t="s">
        <v>36</v>
      </c>
      <c r="H546">
        <v>0</v>
      </c>
      <c r="I546" t="s">
        <v>39</v>
      </c>
      <c r="J546">
        <v>983.71</v>
      </c>
      <c r="K546" t="s">
        <v>46</v>
      </c>
      <c r="L546" t="s">
        <v>2927</v>
      </c>
      <c r="M546">
        <v>1</v>
      </c>
      <c r="N546" t="s">
        <v>595</v>
      </c>
      <c r="O546" t="s">
        <v>2074</v>
      </c>
      <c r="P546">
        <v>24.53</v>
      </c>
      <c r="Q546" s="1">
        <v>45375</v>
      </c>
      <c r="R546" s="1">
        <v>45384</v>
      </c>
      <c r="S546" t="s">
        <v>2925</v>
      </c>
    </row>
    <row r="547" spans="1:19" x14ac:dyDescent="0.3">
      <c r="A547" s="1">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1">
        <v>45102</v>
      </c>
      <c r="R547" s="1">
        <v>45104</v>
      </c>
      <c r="S547" t="s">
        <v>2924</v>
      </c>
    </row>
    <row r="548" spans="1:19" x14ac:dyDescent="0.3">
      <c r="A548" s="1">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1">
        <v>45033</v>
      </c>
      <c r="R548" s="1">
        <v>45036</v>
      </c>
      <c r="S548" t="s">
        <v>2923</v>
      </c>
    </row>
    <row r="549" spans="1:19" x14ac:dyDescent="0.3">
      <c r="A549" s="1">
        <v>45105</v>
      </c>
      <c r="B549" t="s">
        <v>19</v>
      </c>
      <c r="C549" t="s">
        <v>27</v>
      </c>
      <c r="D549">
        <v>14</v>
      </c>
      <c r="E549">
        <v>293.31</v>
      </c>
      <c r="F549" t="s">
        <v>34</v>
      </c>
      <c r="G549" t="s">
        <v>35</v>
      </c>
      <c r="H549">
        <v>0</v>
      </c>
      <c r="I549" t="s">
        <v>38</v>
      </c>
      <c r="J549">
        <v>4106.34</v>
      </c>
      <c r="K549" t="s">
        <v>44</v>
      </c>
      <c r="L549" t="s">
        <v>2927</v>
      </c>
      <c r="M549">
        <v>0</v>
      </c>
      <c r="N549" t="s">
        <v>598</v>
      </c>
      <c r="O549" t="s">
        <v>2077</v>
      </c>
      <c r="P549">
        <v>21.61</v>
      </c>
      <c r="Q549" s="1">
        <v>45105</v>
      </c>
      <c r="R549" s="1">
        <v>45107</v>
      </c>
      <c r="S549" t="s">
        <v>2922</v>
      </c>
    </row>
    <row r="550" spans="1:19" x14ac:dyDescent="0.3">
      <c r="A550" s="1">
        <v>45388</v>
      </c>
      <c r="B550" t="s">
        <v>22</v>
      </c>
      <c r="C550" t="s">
        <v>27</v>
      </c>
      <c r="D550">
        <v>10</v>
      </c>
      <c r="E550">
        <v>397.39</v>
      </c>
      <c r="F550" t="s">
        <v>34</v>
      </c>
      <c r="G550" t="s">
        <v>36</v>
      </c>
      <c r="H550">
        <v>0.15</v>
      </c>
      <c r="I550" t="s">
        <v>38</v>
      </c>
      <c r="J550">
        <v>3377.8150000000001</v>
      </c>
      <c r="K550" t="s">
        <v>44</v>
      </c>
      <c r="L550" t="s">
        <v>2927</v>
      </c>
      <c r="M550">
        <v>0</v>
      </c>
      <c r="N550" t="s">
        <v>599</v>
      </c>
      <c r="O550" t="s">
        <v>2078</v>
      </c>
      <c r="P550">
        <v>25.27</v>
      </c>
      <c r="Q550" s="1">
        <v>45388</v>
      </c>
      <c r="R550" s="1">
        <v>45398</v>
      </c>
      <c r="S550" t="s">
        <v>2925</v>
      </c>
    </row>
    <row r="551" spans="1:19" x14ac:dyDescent="0.3">
      <c r="A551" s="1">
        <v>45705</v>
      </c>
      <c r="B551" t="s">
        <v>20</v>
      </c>
      <c r="C551" t="s">
        <v>27</v>
      </c>
      <c r="D551">
        <v>2</v>
      </c>
      <c r="E551">
        <v>98.35</v>
      </c>
      <c r="F551" t="s">
        <v>33</v>
      </c>
      <c r="G551" t="s">
        <v>36</v>
      </c>
      <c r="H551">
        <v>0</v>
      </c>
      <c r="I551" t="s">
        <v>37</v>
      </c>
      <c r="J551">
        <v>196.7</v>
      </c>
      <c r="K551" t="s">
        <v>46</v>
      </c>
      <c r="L551" t="s">
        <v>48</v>
      </c>
      <c r="M551">
        <v>0</v>
      </c>
      <c r="N551" t="s">
        <v>600</v>
      </c>
      <c r="O551" t="s">
        <v>2079</v>
      </c>
      <c r="P551">
        <v>28.65</v>
      </c>
      <c r="Q551" s="1">
        <v>45705</v>
      </c>
      <c r="R551" s="1">
        <v>45707</v>
      </c>
      <c r="S551" t="s">
        <v>2923</v>
      </c>
    </row>
    <row r="552" spans="1:19" x14ac:dyDescent="0.3">
      <c r="A552" s="1">
        <v>44934</v>
      </c>
      <c r="B552" t="s">
        <v>20</v>
      </c>
      <c r="C552" t="s">
        <v>26</v>
      </c>
      <c r="D552">
        <v>6</v>
      </c>
      <c r="E552">
        <v>581.66999999999996</v>
      </c>
      <c r="F552" t="s">
        <v>32</v>
      </c>
      <c r="G552" t="s">
        <v>35</v>
      </c>
      <c r="H552">
        <v>0</v>
      </c>
      <c r="I552" t="s">
        <v>39</v>
      </c>
      <c r="J552">
        <v>3490.02</v>
      </c>
      <c r="K552" t="s">
        <v>46</v>
      </c>
      <c r="L552" t="s">
        <v>2927</v>
      </c>
      <c r="M552">
        <v>0</v>
      </c>
      <c r="N552" t="s">
        <v>601</v>
      </c>
      <c r="O552" t="s">
        <v>2080</v>
      </c>
      <c r="P552">
        <v>39.4</v>
      </c>
      <c r="Q552" s="1">
        <v>44934</v>
      </c>
      <c r="R552" s="1">
        <v>44937</v>
      </c>
      <c r="S552" t="s">
        <v>2923</v>
      </c>
    </row>
    <row r="553" spans="1:19" x14ac:dyDescent="0.3">
      <c r="A553" s="1">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1">
        <v>45281</v>
      </c>
      <c r="R553" s="1">
        <v>45291</v>
      </c>
      <c r="S553" t="s">
        <v>2923</v>
      </c>
    </row>
    <row r="554" spans="1:19" x14ac:dyDescent="0.3">
      <c r="A554" s="1">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1">
        <v>45486</v>
      </c>
      <c r="R554" s="1">
        <v>45488</v>
      </c>
      <c r="S554" t="s">
        <v>2924</v>
      </c>
    </row>
    <row r="555" spans="1:19" x14ac:dyDescent="0.3">
      <c r="A555" s="1">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1">
        <v>45374</v>
      </c>
      <c r="R555" s="1">
        <v>45383</v>
      </c>
      <c r="S555" t="s">
        <v>2926</v>
      </c>
    </row>
    <row r="556" spans="1:19" x14ac:dyDescent="0.3">
      <c r="A556" s="1">
        <v>45370</v>
      </c>
      <c r="B556" t="s">
        <v>23</v>
      </c>
      <c r="C556" t="s">
        <v>27</v>
      </c>
      <c r="D556">
        <v>7</v>
      </c>
      <c r="E556">
        <v>15.65</v>
      </c>
      <c r="F556" t="s">
        <v>34</v>
      </c>
      <c r="G556" t="s">
        <v>35</v>
      </c>
      <c r="H556">
        <v>0</v>
      </c>
      <c r="I556" t="s">
        <v>40</v>
      </c>
      <c r="J556">
        <v>109.55</v>
      </c>
      <c r="K556" t="s">
        <v>46</v>
      </c>
      <c r="L556" t="s">
        <v>2927</v>
      </c>
      <c r="M556">
        <v>0</v>
      </c>
      <c r="N556" t="s">
        <v>605</v>
      </c>
      <c r="O556" t="s">
        <v>2084</v>
      </c>
      <c r="P556">
        <v>13.28</v>
      </c>
      <c r="Q556" s="1">
        <v>45370</v>
      </c>
      <c r="R556" s="1">
        <v>45376</v>
      </c>
      <c r="S556" t="s">
        <v>2926</v>
      </c>
    </row>
    <row r="557" spans="1:19" x14ac:dyDescent="0.3">
      <c r="A557" s="1">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1">
        <v>45797</v>
      </c>
      <c r="R557" s="1">
        <v>45806</v>
      </c>
      <c r="S557" t="s">
        <v>2925</v>
      </c>
    </row>
    <row r="558" spans="1:19" x14ac:dyDescent="0.3">
      <c r="A558" s="1">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1">
        <v>45676</v>
      </c>
      <c r="R558" s="1">
        <v>45683</v>
      </c>
      <c r="S558" t="s">
        <v>2923</v>
      </c>
    </row>
    <row r="559" spans="1:19" x14ac:dyDescent="0.3">
      <c r="A559" s="1">
        <v>45074</v>
      </c>
      <c r="B559" t="s">
        <v>20</v>
      </c>
      <c r="C559" t="s">
        <v>30</v>
      </c>
      <c r="D559">
        <v>17</v>
      </c>
      <c r="E559">
        <v>554.25</v>
      </c>
      <c r="F559" t="s">
        <v>32</v>
      </c>
      <c r="G559" t="s">
        <v>35</v>
      </c>
      <c r="H559">
        <v>0.1</v>
      </c>
      <c r="I559" t="s">
        <v>41</v>
      </c>
      <c r="J559">
        <v>8480.0249999999996</v>
      </c>
      <c r="K559" t="s">
        <v>46</v>
      </c>
      <c r="L559" t="s">
        <v>2927</v>
      </c>
      <c r="M559">
        <v>0</v>
      </c>
      <c r="N559" t="s">
        <v>608</v>
      </c>
      <c r="O559" t="s">
        <v>2086</v>
      </c>
      <c r="P559">
        <v>8.66</v>
      </c>
      <c r="Q559" s="1">
        <v>45074</v>
      </c>
      <c r="R559" s="1">
        <v>45078</v>
      </c>
      <c r="S559" t="s">
        <v>2923</v>
      </c>
    </row>
    <row r="560" spans="1:19" x14ac:dyDescent="0.3">
      <c r="A560" s="1">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1">
        <v>45227</v>
      </c>
      <c r="R560" s="1">
        <v>45233</v>
      </c>
      <c r="S560" t="s">
        <v>2922</v>
      </c>
    </row>
    <row r="561" spans="1:19" x14ac:dyDescent="0.3">
      <c r="A561" s="1">
        <v>45255</v>
      </c>
      <c r="B561" t="s">
        <v>23</v>
      </c>
      <c r="C561" t="s">
        <v>28</v>
      </c>
      <c r="D561">
        <v>5</v>
      </c>
      <c r="E561">
        <v>99.23</v>
      </c>
      <c r="F561" t="s">
        <v>31</v>
      </c>
      <c r="G561" t="s">
        <v>36</v>
      </c>
      <c r="H561">
        <v>0</v>
      </c>
      <c r="I561" t="s">
        <v>37</v>
      </c>
      <c r="J561">
        <v>496.15</v>
      </c>
      <c r="K561" t="s">
        <v>46</v>
      </c>
      <c r="L561" t="s">
        <v>2927</v>
      </c>
      <c r="M561">
        <v>0</v>
      </c>
      <c r="N561" t="s">
        <v>610</v>
      </c>
      <c r="O561" t="s">
        <v>2088</v>
      </c>
      <c r="P561">
        <v>37.659999999999997</v>
      </c>
      <c r="Q561" s="1">
        <v>45255</v>
      </c>
      <c r="R561" s="1">
        <v>45262</v>
      </c>
      <c r="S561" t="s">
        <v>2926</v>
      </c>
    </row>
    <row r="562" spans="1:19" x14ac:dyDescent="0.3">
      <c r="A562" s="1">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1">
        <v>45613</v>
      </c>
      <c r="R562" s="1">
        <v>45620</v>
      </c>
      <c r="S562" t="s">
        <v>2923</v>
      </c>
    </row>
    <row r="563" spans="1:19" x14ac:dyDescent="0.3">
      <c r="A563" s="1">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1">
        <v>45315</v>
      </c>
      <c r="R563" s="1">
        <v>45320</v>
      </c>
      <c r="S563" t="s">
        <v>2925</v>
      </c>
    </row>
    <row r="564" spans="1:19" x14ac:dyDescent="0.3">
      <c r="A564" s="1">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1">
        <v>45096</v>
      </c>
      <c r="R564" s="1">
        <v>45106</v>
      </c>
      <c r="S564" t="s">
        <v>2924</v>
      </c>
    </row>
    <row r="565" spans="1:19" x14ac:dyDescent="0.3">
      <c r="A565" s="1">
        <v>45670</v>
      </c>
      <c r="B565" t="s">
        <v>19</v>
      </c>
      <c r="C565" t="s">
        <v>25</v>
      </c>
      <c r="D565">
        <v>17</v>
      </c>
      <c r="E565">
        <v>263.75</v>
      </c>
      <c r="F565" t="s">
        <v>31</v>
      </c>
      <c r="G565" t="s">
        <v>36</v>
      </c>
      <c r="H565">
        <v>0</v>
      </c>
      <c r="I565" t="s">
        <v>38</v>
      </c>
      <c r="J565">
        <v>4483.75</v>
      </c>
      <c r="K565" t="s">
        <v>43</v>
      </c>
      <c r="L565" t="s">
        <v>2927</v>
      </c>
      <c r="M565">
        <v>1</v>
      </c>
      <c r="N565" t="s">
        <v>614</v>
      </c>
      <c r="O565" t="s">
        <v>2092</v>
      </c>
      <c r="P565">
        <v>12.97</v>
      </c>
      <c r="Q565" s="1">
        <v>45670</v>
      </c>
      <c r="R565" s="1">
        <v>45675</v>
      </c>
      <c r="S565" t="s">
        <v>2922</v>
      </c>
    </row>
    <row r="566" spans="1:19" x14ac:dyDescent="0.3">
      <c r="A566" s="1">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1">
        <v>45315</v>
      </c>
      <c r="R566" s="1">
        <v>45323</v>
      </c>
      <c r="S566" t="s">
        <v>2922</v>
      </c>
    </row>
    <row r="567" spans="1:19" x14ac:dyDescent="0.3">
      <c r="A567" s="1">
        <v>45663</v>
      </c>
      <c r="B567" t="s">
        <v>20</v>
      </c>
      <c r="C567" t="s">
        <v>30</v>
      </c>
      <c r="D567">
        <v>2</v>
      </c>
      <c r="E567">
        <v>264</v>
      </c>
      <c r="F567" t="s">
        <v>34</v>
      </c>
      <c r="G567" t="s">
        <v>36</v>
      </c>
      <c r="H567">
        <v>0</v>
      </c>
      <c r="I567" t="s">
        <v>42</v>
      </c>
      <c r="J567">
        <v>528</v>
      </c>
      <c r="K567" t="s">
        <v>44</v>
      </c>
      <c r="L567" t="s">
        <v>49</v>
      </c>
      <c r="M567">
        <v>0</v>
      </c>
      <c r="N567" t="s">
        <v>616</v>
      </c>
      <c r="O567" t="s">
        <v>2094</v>
      </c>
      <c r="P567">
        <v>26.73</v>
      </c>
      <c r="Q567" s="1">
        <v>45663</v>
      </c>
      <c r="R567" s="1">
        <v>45671</v>
      </c>
      <c r="S567" t="s">
        <v>2923</v>
      </c>
    </row>
    <row r="568" spans="1:19" x14ac:dyDescent="0.3">
      <c r="A568" s="1">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1">
        <v>45659</v>
      </c>
      <c r="R568" s="1">
        <v>45666</v>
      </c>
      <c r="S568" t="s">
        <v>2925</v>
      </c>
    </row>
    <row r="569" spans="1:19" x14ac:dyDescent="0.3">
      <c r="A569" s="1">
        <v>44979</v>
      </c>
      <c r="B569" t="s">
        <v>21</v>
      </c>
      <c r="C569" t="s">
        <v>26</v>
      </c>
      <c r="D569">
        <v>4</v>
      </c>
      <c r="E569">
        <v>85.96</v>
      </c>
      <c r="F569" t="s">
        <v>32</v>
      </c>
      <c r="G569" t="s">
        <v>36</v>
      </c>
      <c r="H569">
        <v>0.1</v>
      </c>
      <c r="I569" t="s">
        <v>39</v>
      </c>
      <c r="J569">
        <v>309.45600000000002</v>
      </c>
      <c r="K569" t="s">
        <v>45</v>
      </c>
      <c r="L569" t="s">
        <v>2927</v>
      </c>
      <c r="M569">
        <v>0</v>
      </c>
      <c r="N569" t="s">
        <v>618</v>
      </c>
      <c r="O569" t="s">
        <v>2096</v>
      </c>
      <c r="P569">
        <v>32.119999999999997</v>
      </c>
      <c r="Q569" s="1">
        <v>44979</v>
      </c>
      <c r="R569" s="1">
        <v>44988</v>
      </c>
      <c r="S569" t="s">
        <v>2924</v>
      </c>
    </row>
    <row r="570" spans="1:19" x14ac:dyDescent="0.3">
      <c r="A570" s="1">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1">
        <v>45694</v>
      </c>
      <c r="R570" s="1">
        <v>45704</v>
      </c>
      <c r="S570" t="s">
        <v>2922</v>
      </c>
    </row>
    <row r="571" spans="1:19" x14ac:dyDescent="0.3">
      <c r="A571" s="1">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1">
        <v>45561</v>
      </c>
      <c r="R571" s="1">
        <v>45565</v>
      </c>
      <c r="S571" t="s">
        <v>2922</v>
      </c>
    </row>
    <row r="572" spans="1:19" x14ac:dyDescent="0.3">
      <c r="A572" s="1">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1">
        <v>45744</v>
      </c>
      <c r="R572" s="1">
        <v>45748</v>
      </c>
      <c r="S572" t="s">
        <v>2924</v>
      </c>
    </row>
    <row r="573" spans="1:19" x14ac:dyDescent="0.3">
      <c r="A573" s="1">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1">
        <v>45108</v>
      </c>
      <c r="R573" s="1">
        <v>45116</v>
      </c>
      <c r="S573" t="s">
        <v>2922</v>
      </c>
    </row>
    <row r="574" spans="1:19" x14ac:dyDescent="0.3">
      <c r="A574" s="1">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1">
        <v>45045</v>
      </c>
      <c r="R574" s="1">
        <v>45050</v>
      </c>
      <c r="S574" t="s">
        <v>2926</v>
      </c>
    </row>
    <row r="575" spans="1:19" x14ac:dyDescent="0.3">
      <c r="A575" s="1">
        <v>45046</v>
      </c>
      <c r="B575" t="s">
        <v>19</v>
      </c>
      <c r="C575" t="s">
        <v>30</v>
      </c>
      <c r="D575">
        <v>17</v>
      </c>
      <c r="E575">
        <v>369.52</v>
      </c>
      <c r="F575" t="s">
        <v>33</v>
      </c>
      <c r="G575" t="s">
        <v>35</v>
      </c>
      <c r="H575">
        <v>0</v>
      </c>
      <c r="I575" t="s">
        <v>40</v>
      </c>
      <c r="J575">
        <v>6281.84</v>
      </c>
      <c r="K575" t="s">
        <v>44</v>
      </c>
      <c r="L575" t="s">
        <v>2927</v>
      </c>
      <c r="M575">
        <v>0</v>
      </c>
      <c r="N575" t="s">
        <v>624</v>
      </c>
      <c r="O575" t="s">
        <v>2101</v>
      </c>
      <c r="P575">
        <v>17.12</v>
      </c>
      <c r="Q575" s="1">
        <v>45046</v>
      </c>
      <c r="R575" s="1">
        <v>45052</v>
      </c>
      <c r="S575" t="s">
        <v>2922</v>
      </c>
    </row>
    <row r="576" spans="1:19" x14ac:dyDescent="0.3">
      <c r="A576" s="1">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1">
        <v>45365</v>
      </c>
      <c r="R576" s="1">
        <v>45371</v>
      </c>
      <c r="S576" t="s">
        <v>2926</v>
      </c>
    </row>
    <row r="577" spans="1:19" x14ac:dyDescent="0.3">
      <c r="A577" s="1">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1">
        <v>45104</v>
      </c>
      <c r="R577" s="1">
        <v>45109</v>
      </c>
      <c r="S577" t="s">
        <v>2925</v>
      </c>
    </row>
    <row r="578" spans="1:19" x14ac:dyDescent="0.3">
      <c r="A578" s="1">
        <v>45392</v>
      </c>
      <c r="B578" t="s">
        <v>21</v>
      </c>
      <c r="C578" t="s">
        <v>24</v>
      </c>
      <c r="D578">
        <v>19</v>
      </c>
      <c r="E578">
        <v>9.48</v>
      </c>
      <c r="F578" t="s">
        <v>32</v>
      </c>
      <c r="G578" t="s">
        <v>35</v>
      </c>
      <c r="H578">
        <v>0</v>
      </c>
      <c r="I578" t="s">
        <v>40</v>
      </c>
      <c r="J578">
        <v>180.12</v>
      </c>
      <c r="K578" t="s">
        <v>43</v>
      </c>
      <c r="L578" t="s">
        <v>2927</v>
      </c>
      <c r="M578">
        <v>0</v>
      </c>
      <c r="N578" t="s">
        <v>627</v>
      </c>
      <c r="O578" t="s">
        <v>2104</v>
      </c>
      <c r="P578">
        <v>22.33</v>
      </c>
      <c r="Q578" s="1">
        <v>45392</v>
      </c>
      <c r="R578" s="1">
        <v>45394</v>
      </c>
      <c r="S578" t="s">
        <v>2924</v>
      </c>
    </row>
    <row r="579" spans="1:19" x14ac:dyDescent="0.3">
      <c r="A579" s="1">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1">
        <v>45168</v>
      </c>
      <c r="R579" s="1">
        <v>45170</v>
      </c>
      <c r="S579" t="s">
        <v>2925</v>
      </c>
    </row>
    <row r="580" spans="1:19" x14ac:dyDescent="0.3">
      <c r="A580" s="1">
        <v>45222</v>
      </c>
      <c r="B580" t="s">
        <v>23</v>
      </c>
      <c r="C580" t="s">
        <v>24</v>
      </c>
      <c r="D580">
        <v>17</v>
      </c>
      <c r="E580">
        <v>25.95</v>
      </c>
      <c r="F580" t="s">
        <v>31</v>
      </c>
      <c r="G580" t="s">
        <v>35</v>
      </c>
      <c r="H580">
        <v>0.05</v>
      </c>
      <c r="I580" t="s">
        <v>42</v>
      </c>
      <c r="J580">
        <v>419.09249999999997</v>
      </c>
      <c r="K580" t="s">
        <v>44</v>
      </c>
      <c r="L580" t="s">
        <v>2927</v>
      </c>
      <c r="M580">
        <v>0</v>
      </c>
      <c r="N580" t="s">
        <v>629</v>
      </c>
      <c r="O580" t="s">
        <v>2106</v>
      </c>
      <c r="P580">
        <v>27.68</v>
      </c>
      <c r="Q580" s="1">
        <v>45222</v>
      </c>
      <c r="R580" s="1">
        <v>45229</v>
      </c>
      <c r="S580" t="s">
        <v>2926</v>
      </c>
    </row>
    <row r="581" spans="1:19" x14ac:dyDescent="0.3">
      <c r="A581" s="1">
        <v>45008</v>
      </c>
      <c r="B581" t="s">
        <v>21</v>
      </c>
      <c r="C581" t="s">
        <v>26</v>
      </c>
      <c r="D581">
        <v>18</v>
      </c>
      <c r="E581">
        <v>209.65</v>
      </c>
      <c r="F581" t="s">
        <v>32</v>
      </c>
      <c r="G581" t="s">
        <v>35</v>
      </c>
      <c r="H581">
        <v>0.1</v>
      </c>
      <c r="I581" t="s">
        <v>40</v>
      </c>
      <c r="J581">
        <v>3396.33</v>
      </c>
      <c r="K581" t="s">
        <v>46</v>
      </c>
      <c r="L581" t="s">
        <v>2927</v>
      </c>
      <c r="M581">
        <v>0</v>
      </c>
      <c r="N581" t="s">
        <v>630</v>
      </c>
      <c r="O581" t="s">
        <v>2107</v>
      </c>
      <c r="P581">
        <v>42.04</v>
      </c>
      <c r="Q581" s="1">
        <v>45008</v>
      </c>
      <c r="R581" s="1">
        <v>45015</v>
      </c>
      <c r="S581" t="s">
        <v>2924</v>
      </c>
    </row>
    <row r="582" spans="1:19" x14ac:dyDescent="0.3">
      <c r="A582" s="1">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1">
        <v>45556</v>
      </c>
      <c r="R582" s="1">
        <v>45565</v>
      </c>
      <c r="S582" t="s">
        <v>2925</v>
      </c>
    </row>
    <row r="583" spans="1:19" x14ac:dyDescent="0.3">
      <c r="A583" s="1">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1">
        <v>45652</v>
      </c>
      <c r="R583" s="1">
        <v>45660</v>
      </c>
      <c r="S583" t="s">
        <v>2926</v>
      </c>
    </row>
    <row r="584" spans="1:19" x14ac:dyDescent="0.3">
      <c r="A584" s="1">
        <v>44983</v>
      </c>
      <c r="B584" t="s">
        <v>19</v>
      </c>
      <c r="C584" t="s">
        <v>25</v>
      </c>
      <c r="D584">
        <v>13</v>
      </c>
      <c r="E584">
        <v>6.5</v>
      </c>
      <c r="F584" t="s">
        <v>32</v>
      </c>
      <c r="G584" t="s">
        <v>35</v>
      </c>
      <c r="H584">
        <v>0</v>
      </c>
      <c r="I584" t="s">
        <v>41</v>
      </c>
      <c r="J584">
        <v>84.5</v>
      </c>
      <c r="K584" t="s">
        <v>47</v>
      </c>
      <c r="L584" t="s">
        <v>2927</v>
      </c>
      <c r="M584">
        <v>0</v>
      </c>
      <c r="N584" t="s">
        <v>633</v>
      </c>
      <c r="O584" t="s">
        <v>2110</v>
      </c>
      <c r="P584">
        <v>20.02</v>
      </c>
      <c r="Q584" s="1">
        <v>44983</v>
      </c>
      <c r="R584" s="1">
        <v>44988</v>
      </c>
      <c r="S584" t="s">
        <v>2922</v>
      </c>
    </row>
    <row r="585" spans="1:19" x14ac:dyDescent="0.3">
      <c r="A585" s="1">
        <v>45636</v>
      </c>
      <c r="B585" t="s">
        <v>21</v>
      </c>
      <c r="C585" t="s">
        <v>28</v>
      </c>
      <c r="D585">
        <v>8</v>
      </c>
      <c r="E585">
        <v>70.790000000000006</v>
      </c>
      <c r="F585" t="s">
        <v>31</v>
      </c>
      <c r="G585" t="s">
        <v>35</v>
      </c>
      <c r="H585">
        <v>0</v>
      </c>
      <c r="I585" t="s">
        <v>41</v>
      </c>
      <c r="J585">
        <v>566.32000000000005</v>
      </c>
      <c r="K585" t="s">
        <v>43</v>
      </c>
      <c r="L585" t="s">
        <v>2927</v>
      </c>
      <c r="M585">
        <v>0</v>
      </c>
      <c r="N585" t="s">
        <v>634</v>
      </c>
      <c r="O585" t="s">
        <v>2111</v>
      </c>
      <c r="P585">
        <v>46.35</v>
      </c>
      <c r="Q585" s="1">
        <v>45636</v>
      </c>
      <c r="R585" s="1">
        <v>45640</v>
      </c>
      <c r="S585" t="s">
        <v>2924</v>
      </c>
    </row>
    <row r="586" spans="1:19" x14ac:dyDescent="0.3">
      <c r="A586" s="1">
        <v>45658</v>
      </c>
      <c r="B586" t="s">
        <v>19</v>
      </c>
      <c r="C586" t="s">
        <v>24</v>
      </c>
      <c r="D586">
        <v>17</v>
      </c>
      <c r="E586">
        <v>584.70000000000005</v>
      </c>
      <c r="F586" t="s">
        <v>34</v>
      </c>
      <c r="G586" t="s">
        <v>36</v>
      </c>
      <c r="H586">
        <v>0.1</v>
      </c>
      <c r="I586" t="s">
        <v>37</v>
      </c>
      <c r="J586">
        <v>8945.9100000000017</v>
      </c>
      <c r="K586" t="s">
        <v>43</v>
      </c>
      <c r="L586" t="s">
        <v>2927</v>
      </c>
      <c r="M586">
        <v>1</v>
      </c>
      <c r="N586" t="s">
        <v>635</v>
      </c>
      <c r="O586" t="s">
        <v>2112</v>
      </c>
      <c r="P586">
        <v>46.59</v>
      </c>
      <c r="Q586" s="1">
        <v>45658</v>
      </c>
      <c r="R586" s="1">
        <v>45660</v>
      </c>
      <c r="S586" t="s">
        <v>2922</v>
      </c>
    </row>
    <row r="587" spans="1:19" x14ac:dyDescent="0.3">
      <c r="A587" s="1">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1">
        <v>45730</v>
      </c>
      <c r="R587" s="1">
        <v>45737</v>
      </c>
      <c r="S587" t="s">
        <v>2922</v>
      </c>
    </row>
    <row r="588" spans="1:19" x14ac:dyDescent="0.3">
      <c r="A588" s="1">
        <v>45307</v>
      </c>
      <c r="B588" t="s">
        <v>20</v>
      </c>
      <c r="C588" t="s">
        <v>29</v>
      </c>
      <c r="D588">
        <v>5</v>
      </c>
      <c r="E588">
        <v>440.93</v>
      </c>
      <c r="F588" t="s">
        <v>31</v>
      </c>
      <c r="G588" t="s">
        <v>35</v>
      </c>
      <c r="H588">
        <v>0.1</v>
      </c>
      <c r="I588" t="s">
        <v>40</v>
      </c>
      <c r="J588">
        <v>1984.1849999999999</v>
      </c>
      <c r="K588" t="s">
        <v>44</v>
      </c>
      <c r="L588" t="s">
        <v>2927</v>
      </c>
      <c r="M588">
        <v>0</v>
      </c>
      <c r="N588" t="s">
        <v>637</v>
      </c>
      <c r="O588" t="s">
        <v>2114</v>
      </c>
      <c r="P588">
        <v>23.84</v>
      </c>
      <c r="Q588" s="1">
        <v>45307</v>
      </c>
      <c r="R588" s="1">
        <v>45311</v>
      </c>
      <c r="S588" t="s">
        <v>2923</v>
      </c>
    </row>
    <row r="589" spans="1:19" x14ac:dyDescent="0.3">
      <c r="A589" s="1">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1">
        <v>45401</v>
      </c>
      <c r="R589" s="1">
        <v>45407</v>
      </c>
      <c r="S589" t="s">
        <v>2926</v>
      </c>
    </row>
    <row r="590" spans="1:19" x14ac:dyDescent="0.3">
      <c r="A590" s="1">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1">
        <v>45268</v>
      </c>
      <c r="R590" s="1">
        <v>45271</v>
      </c>
      <c r="S590" t="s">
        <v>2924</v>
      </c>
    </row>
    <row r="591" spans="1:19" x14ac:dyDescent="0.3">
      <c r="A591" s="1">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1">
        <v>45000</v>
      </c>
      <c r="R591" s="1">
        <v>45004</v>
      </c>
      <c r="S591" t="s">
        <v>2924</v>
      </c>
    </row>
    <row r="592" spans="1:19" x14ac:dyDescent="0.3">
      <c r="A592" s="1">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1">
        <v>45695</v>
      </c>
      <c r="R592" s="1">
        <v>45701</v>
      </c>
      <c r="S592" t="s">
        <v>2923</v>
      </c>
    </row>
    <row r="593" spans="1:19" x14ac:dyDescent="0.3">
      <c r="A593" s="1">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1">
        <v>45835</v>
      </c>
      <c r="R593" s="1">
        <v>45840</v>
      </c>
      <c r="S593" t="s">
        <v>2924</v>
      </c>
    </row>
    <row r="594" spans="1:19" x14ac:dyDescent="0.3">
      <c r="A594" s="1">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1">
        <v>45643</v>
      </c>
      <c r="R594" s="1">
        <v>45646</v>
      </c>
      <c r="S594" t="s">
        <v>2925</v>
      </c>
    </row>
    <row r="595" spans="1:19" x14ac:dyDescent="0.3">
      <c r="A595" s="1">
        <v>45415</v>
      </c>
      <c r="B595" t="s">
        <v>20</v>
      </c>
      <c r="C595" t="s">
        <v>24</v>
      </c>
      <c r="D595">
        <v>6</v>
      </c>
      <c r="E595">
        <v>266.67</v>
      </c>
      <c r="F595" t="s">
        <v>31</v>
      </c>
      <c r="G595" t="s">
        <v>35</v>
      </c>
      <c r="H595">
        <v>0.05</v>
      </c>
      <c r="I595" t="s">
        <v>37</v>
      </c>
      <c r="J595">
        <v>1520.019</v>
      </c>
      <c r="K595" t="s">
        <v>46</v>
      </c>
      <c r="L595" t="s">
        <v>2927</v>
      </c>
      <c r="M595">
        <v>0</v>
      </c>
      <c r="N595" t="s">
        <v>644</v>
      </c>
      <c r="O595" t="s">
        <v>2121</v>
      </c>
      <c r="P595">
        <v>48.49</v>
      </c>
      <c r="Q595" s="1">
        <v>45415</v>
      </c>
      <c r="R595" s="1">
        <v>45423</v>
      </c>
      <c r="S595" t="s">
        <v>2923</v>
      </c>
    </row>
    <row r="596" spans="1:19" x14ac:dyDescent="0.3">
      <c r="A596" s="1">
        <v>45286</v>
      </c>
      <c r="B596" t="s">
        <v>20</v>
      </c>
      <c r="C596" t="s">
        <v>30</v>
      </c>
      <c r="D596">
        <v>3</v>
      </c>
      <c r="E596">
        <v>300.8</v>
      </c>
      <c r="F596" t="s">
        <v>31</v>
      </c>
      <c r="G596" t="s">
        <v>35</v>
      </c>
      <c r="H596">
        <v>0.1</v>
      </c>
      <c r="I596" t="s">
        <v>40</v>
      </c>
      <c r="J596">
        <v>812.16000000000008</v>
      </c>
      <c r="K596" t="s">
        <v>47</v>
      </c>
      <c r="L596" t="s">
        <v>2927</v>
      </c>
      <c r="M596">
        <v>1</v>
      </c>
      <c r="N596" t="s">
        <v>645</v>
      </c>
      <c r="O596" t="s">
        <v>2029</v>
      </c>
      <c r="P596">
        <v>15.98</v>
      </c>
      <c r="Q596" s="1">
        <v>45286</v>
      </c>
      <c r="R596" s="1">
        <v>45292</v>
      </c>
      <c r="S596" t="s">
        <v>2923</v>
      </c>
    </row>
    <row r="597" spans="1:19" x14ac:dyDescent="0.3">
      <c r="A597" s="1">
        <v>45425</v>
      </c>
      <c r="B597" t="s">
        <v>22</v>
      </c>
      <c r="C597" t="s">
        <v>30</v>
      </c>
      <c r="D597">
        <v>11</v>
      </c>
      <c r="E597">
        <v>79.63</v>
      </c>
      <c r="F597" t="s">
        <v>31</v>
      </c>
      <c r="G597" t="s">
        <v>35</v>
      </c>
      <c r="H597">
        <v>0.05</v>
      </c>
      <c r="I597" t="s">
        <v>39</v>
      </c>
      <c r="J597">
        <v>832.13349999999991</v>
      </c>
      <c r="K597" t="s">
        <v>43</v>
      </c>
      <c r="L597" t="s">
        <v>2927</v>
      </c>
      <c r="M597">
        <v>0</v>
      </c>
      <c r="N597" t="s">
        <v>646</v>
      </c>
      <c r="O597" t="s">
        <v>2122</v>
      </c>
      <c r="P597">
        <v>43.84</v>
      </c>
      <c r="Q597" s="1">
        <v>45425</v>
      </c>
      <c r="R597" s="1">
        <v>45431</v>
      </c>
      <c r="S597" t="s">
        <v>2925</v>
      </c>
    </row>
    <row r="598" spans="1:19" x14ac:dyDescent="0.3">
      <c r="A598" s="1">
        <v>45206</v>
      </c>
      <c r="B598" t="s">
        <v>20</v>
      </c>
      <c r="C598" t="s">
        <v>24</v>
      </c>
      <c r="D598">
        <v>6</v>
      </c>
      <c r="E598">
        <v>505.7</v>
      </c>
      <c r="F598" t="s">
        <v>33</v>
      </c>
      <c r="G598" t="s">
        <v>36</v>
      </c>
      <c r="H598">
        <v>0</v>
      </c>
      <c r="I598" t="s">
        <v>38</v>
      </c>
      <c r="J598">
        <v>3034.2</v>
      </c>
      <c r="K598" t="s">
        <v>47</v>
      </c>
      <c r="L598" t="s">
        <v>2927</v>
      </c>
      <c r="M598">
        <v>0</v>
      </c>
      <c r="N598" t="s">
        <v>647</v>
      </c>
      <c r="O598" t="s">
        <v>2123</v>
      </c>
      <c r="P598">
        <v>40.380000000000003</v>
      </c>
      <c r="Q598" s="1">
        <v>45206</v>
      </c>
      <c r="R598" s="1">
        <v>45215</v>
      </c>
      <c r="S598" t="s">
        <v>2923</v>
      </c>
    </row>
    <row r="599" spans="1:19" x14ac:dyDescent="0.3">
      <c r="A599" s="1">
        <v>45118</v>
      </c>
      <c r="B599" t="s">
        <v>23</v>
      </c>
      <c r="C599" t="s">
        <v>30</v>
      </c>
      <c r="D599">
        <v>5</v>
      </c>
      <c r="E599">
        <v>569.62</v>
      </c>
      <c r="F599" t="s">
        <v>33</v>
      </c>
      <c r="G599" t="s">
        <v>35</v>
      </c>
      <c r="H599">
        <v>0</v>
      </c>
      <c r="I599" t="s">
        <v>41</v>
      </c>
      <c r="J599">
        <v>2848.1</v>
      </c>
      <c r="K599" t="s">
        <v>46</v>
      </c>
      <c r="L599" t="s">
        <v>48</v>
      </c>
      <c r="M599">
        <v>0</v>
      </c>
      <c r="N599" t="s">
        <v>648</v>
      </c>
      <c r="O599" t="s">
        <v>2124</v>
      </c>
      <c r="P599">
        <v>48.8</v>
      </c>
      <c r="Q599" s="1">
        <v>45118</v>
      </c>
      <c r="R599" s="1">
        <v>45120</v>
      </c>
      <c r="S599" t="s">
        <v>2926</v>
      </c>
    </row>
    <row r="600" spans="1:19" x14ac:dyDescent="0.3">
      <c r="A600" s="1">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1">
        <v>45688</v>
      </c>
      <c r="R600" s="1">
        <v>45694</v>
      </c>
      <c r="S600" t="s">
        <v>2923</v>
      </c>
    </row>
    <row r="601" spans="1:19" x14ac:dyDescent="0.3">
      <c r="A601" s="1">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1">
        <v>44961</v>
      </c>
      <c r="R601" s="1">
        <v>44964</v>
      </c>
      <c r="S601" t="s">
        <v>2923</v>
      </c>
    </row>
    <row r="602" spans="1:19" x14ac:dyDescent="0.3">
      <c r="A602" s="1">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1">
        <v>45171</v>
      </c>
      <c r="R602" s="1">
        <v>45181</v>
      </c>
      <c r="S602" t="s">
        <v>2923</v>
      </c>
    </row>
    <row r="603" spans="1:19" x14ac:dyDescent="0.3">
      <c r="A603" s="1">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1">
        <v>45639</v>
      </c>
      <c r="R603" s="1">
        <v>45641</v>
      </c>
      <c r="S603" t="s">
        <v>2925</v>
      </c>
    </row>
    <row r="604" spans="1:19" x14ac:dyDescent="0.3">
      <c r="A604" s="1">
        <v>45212</v>
      </c>
      <c r="B604" t="s">
        <v>22</v>
      </c>
      <c r="C604" t="s">
        <v>29</v>
      </c>
      <c r="D604">
        <v>5</v>
      </c>
      <c r="E604">
        <v>75.27</v>
      </c>
      <c r="F604" t="s">
        <v>32</v>
      </c>
      <c r="G604" t="s">
        <v>35</v>
      </c>
      <c r="H604">
        <v>0</v>
      </c>
      <c r="I604" t="s">
        <v>40</v>
      </c>
      <c r="J604">
        <v>376.35</v>
      </c>
      <c r="K604" t="s">
        <v>47</v>
      </c>
      <c r="L604" t="s">
        <v>2927</v>
      </c>
      <c r="M604">
        <v>0</v>
      </c>
      <c r="N604" t="s">
        <v>653</v>
      </c>
      <c r="O604" t="s">
        <v>2129</v>
      </c>
      <c r="P604">
        <v>31.61</v>
      </c>
      <c r="Q604" s="1">
        <v>45212</v>
      </c>
      <c r="R604" s="1">
        <v>45221</v>
      </c>
      <c r="S604" t="s">
        <v>2925</v>
      </c>
    </row>
    <row r="605" spans="1:19" x14ac:dyDescent="0.3">
      <c r="A605" s="1">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1">
        <v>45568</v>
      </c>
      <c r="R605" s="1">
        <v>45572</v>
      </c>
      <c r="S605" t="s">
        <v>2923</v>
      </c>
    </row>
    <row r="606" spans="1:19" x14ac:dyDescent="0.3">
      <c r="A606" s="1">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1">
        <v>45410</v>
      </c>
      <c r="R606" s="1">
        <v>45416</v>
      </c>
      <c r="S606" t="s">
        <v>2925</v>
      </c>
    </row>
    <row r="607" spans="1:19" x14ac:dyDescent="0.3">
      <c r="A607" s="1">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1">
        <v>45329</v>
      </c>
      <c r="R607" s="1">
        <v>45336</v>
      </c>
      <c r="S607" t="s">
        <v>2925</v>
      </c>
    </row>
    <row r="608" spans="1:19" x14ac:dyDescent="0.3">
      <c r="A608" s="1">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1">
        <v>44965</v>
      </c>
      <c r="R608" s="1">
        <v>44968</v>
      </c>
      <c r="S608" t="s">
        <v>2923</v>
      </c>
    </row>
    <row r="609" spans="1:19" x14ac:dyDescent="0.3">
      <c r="A609" s="1">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1">
        <v>45094</v>
      </c>
      <c r="R609" s="1">
        <v>45096</v>
      </c>
      <c r="S609" t="s">
        <v>2923</v>
      </c>
    </row>
    <row r="610" spans="1:19" x14ac:dyDescent="0.3">
      <c r="A610" s="1">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1">
        <v>45502</v>
      </c>
      <c r="R610" s="1">
        <v>45505</v>
      </c>
      <c r="S610" t="s">
        <v>2926</v>
      </c>
    </row>
    <row r="611" spans="1:19" x14ac:dyDescent="0.3">
      <c r="A611" s="1">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1">
        <v>45320</v>
      </c>
      <c r="R611" s="1">
        <v>45323</v>
      </c>
      <c r="S611" t="s">
        <v>2926</v>
      </c>
    </row>
    <row r="612" spans="1:19" x14ac:dyDescent="0.3">
      <c r="A612" s="1">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1">
        <v>45309</v>
      </c>
      <c r="R612" s="1">
        <v>45314</v>
      </c>
      <c r="S612" t="s">
        <v>2922</v>
      </c>
    </row>
    <row r="613" spans="1:19" x14ac:dyDescent="0.3">
      <c r="A613" s="1">
        <v>45516</v>
      </c>
      <c r="B613" t="s">
        <v>21</v>
      </c>
      <c r="C613" t="s">
        <v>27</v>
      </c>
      <c r="D613">
        <v>10</v>
      </c>
      <c r="E613">
        <v>278</v>
      </c>
      <c r="F613" t="s">
        <v>33</v>
      </c>
      <c r="G613" t="s">
        <v>36</v>
      </c>
      <c r="H613">
        <v>0</v>
      </c>
      <c r="I613" t="s">
        <v>42</v>
      </c>
      <c r="J613">
        <v>2780</v>
      </c>
      <c r="K613" t="s">
        <v>45</v>
      </c>
      <c r="L613" t="s">
        <v>2927</v>
      </c>
      <c r="M613">
        <v>0</v>
      </c>
      <c r="N613" t="s">
        <v>662</v>
      </c>
      <c r="O613" t="s">
        <v>2138</v>
      </c>
      <c r="P613">
        <v>24.25</v>
      </c>
      <c r="Q613" s="1">
        <v>45516</v>
      </c>
      <c r="R613" s="1">
        <v>45526</v>
      </c>
      <c r="S613" t="s">
        <v>2924</v>
      </c>
    </row>
    <row r="614" spans="1:19" x14ac:dyDescent="0.3">
      <c r="A614" s="1">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1">
        <v>45763</v>
      </c>
      <c r="R614" s="1">
        <v>45767</v>
      </c>
      <c r="S614" t="s">
        <v>2926</v>
      </c>
    </row>
    <row r="615" spans="1:19" x14ac:dyDescent="0.3">
      <c r="A615" s="1">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1">
        <v>44983</v>
      </c>
      <c r="R615" s="1">
        <v>44987</v>
      </c>
      <c r="S615" t="s">
        <v>2925</v>
      </c>
    </row>
    <row r="616" spans="1:19" x14ac:dyDescent="0.3">
      <c r="A616" s="1">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1">
        <v>44933</v>
      </c>
      <c r="R616" s="1">
        <v>44937</v>
      </c>
      <c r="S616" t="s">
        <v>2922</v>
      </c>
    </row>
    <row r="617" spans="1:19" x14ac:dyDescent="0.3">
      <c r="A617" s="1">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1">
        <v>45223</v>
      </c>
      <c r="R617" s="1">
        <v>45233</v>
      </c>
      <c r="S617" t="s">
        <v>2923</v>
      </c>
    </row>
    <row r="618" spans="1:19" x14ac:dyDescent="0.3">
      <c r="A618" s="1">
        <v>45293</v>
      </c>
      <c r="B618" t="s">
        <v>21</v>
      </c>
      <c r="C618" t="s">
        <v>29</v>
      </c>
      <c r="D618">
        <v>15</v>
      </c>
      <c r="E618">
        <v>115.48</v>
      </c>
      <c r="F618" t="s">
        <v>32</v>
      </c>
      <c r="G618" t="s">
        <v>36</v>
      </c>
      <c r="H618">
        <v>0.15</v>
      </c>
      <c r="I618" t="s">
        <v>39</v>
      </c>
      <c r="J618">
        <v>1472.37</v>
      </c>
      <c r="K618" t="s">
        <v>45</v>
      </c>
      <c r="L618" t="s">
        <v>2927</v>
      </c>
      <c r="M618">
        <v>0</v>
      </c>
      <c r="N618" t="s">
        <v>667</v>
      </c>
      <c r="O618" t="s">
        <v>2143</v>
      </c>
      <c r="P618">
        <v>6.04</v>
      </c>
      <c r="Q618" s="1">
        <v>45293</v>
      </c>
      <c r="R618" s="1">
        <v>45303</v>
      </c>
      <c r="S618" t="s">
        <v>2924</v>
      </c>
    </row>
    <row r="619" spans="1:19" x14ac:dyDescent="0.3">
      <c r="A619" s="1">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1">
        <v>45552</v>
      </c>
      <c r="R619" s="1">
        <v>45560</v>
      </c>
      <c r="S619" t="s">
        <v>2923</v>
      </c>
    </row>
    <row r="620" spans="1:19" x14ac:dyDescent="0.3">
      <c r="A620" s="1">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1">
        <v>45417</v>
      </c>
      <c r="R620" s="1">
        <v>45423</v>
      </c>
      <c r="S620" t="s">
        <v>2925</v>
      </c>
    </row>
    <row r="621" spans="1:19" x14ac:dyDescent="0.3">
      <c r="A621" s="1">
        <v>45835</v>
      </c>
      <c r="B621" t="s">
        <v>23</v>
      </c>
      <c r="C621" t="s">
        <v>26</v>
      </c>
      <c r="D621">
        <v>13</v>
      </c>
      <c r="E621">
        <v>112.88</v>
      </c>
      <c r="F621" t="s">
        <v>34</v>
      </c>
      <c r="G621" t="s">
        <v>36</v>
      </c>
      <c r="H621">
        <v>0</v>
      </c>
      <c r="I621" t="s">
        <v>39</v>
      </c>
      <c r="J621">
        <v>1467.44</v>
      </c>
      <c r="K621" t="s">
        <v>46</v>
      </c>
      <c r="L621" t="s">
        <v>2927</v>
      </c>
      <c r="M621">
        <v>0</v>
      </c>
      <c r="N621" t="s">
        <v>670</v>
      </c>
      <c r="O621" t="s">
        <v>2146</v>
      </c>
      <c r="P621">
        <v>12.39</v>
      </c>
      <c r="Q621" s="1">
        <v>45835</v>
      </c>
      <c r="R621" s="1">
        <v>45837</v>
      </c>
      <c r="S621" t="s">
        <v>2926</v>
      </c>
    </row>
    <row r="622" spans="1:19" x14ac:dyDescent="0.3">
      <c r="A622" s="1">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1">
        <v>45426</v>
      </c>
      <c r="R622" s="1">
        <v>45434</v>
      </c>
      <c r="S622" t="s">
        <v>2926</v>
      </c>
    </row>
    <row r="623" spans="1:19" x14ac:dyDescent="0.3">
      <c r="A623" s="1">
        <v>45351</v>
      </c>
      <c r="B623" t="s">
        <v>21</v>
      </c>
      <c r="C623" t="s">
        <v>27</v>
      </c>
      <c r="D623">
        <v>15</v>
      </c>
      <c r="E623">
        <v>119.86</v>
      </c>
      <c r="F623" t="s">
        <v>32</v>
      </c>
      <c r="G623" t="s">
        <v>35</v>
      </c>
      <c r="H623">
        <v>0.15</v>
      </c>
      <c r="I623" t="s">
        <v>42</v>
      </c>
      <c r="J623">
        <v>1528.2149999999999</v>
      </c>
      <c r="K623" t="s">
        <v>46</v>
      </c>
      <c r="L623" t="s">
        <v>2927</v>
      </c>
      <c r="M623">
        <v>1</v>
      </c>
      <c r="N623" t="s">
        <v>672</v>
      </c>
      <c r="O623" t="s">
        <v>2148</v>
      </c>
      <c r="P623">
        <v>30.78</v>
      </c>
      <c r="Q623" s="1">
        <v>45351</v>
      </c>
      <c r="R623" s="1">
        <v>45356</v>
      </c>
      <c r="S623" t="s">
        <v>2924</v>
      </c>
    </row>
    <row r="624" spans="1:19" x14ac:dyDescent="0.3">
      <c r="A624" s="1">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1">
        <v>45796</v>
      </c>
      <c r="R624" s="1">
        <v>45804</v>
      </c>
      <c r="S624" t="s">
        <v>2922</v>
      </c>
    </row>
    <row r="625" spans="1:19" x14ac:dyDescent="0.3">
      <c r="A625" s="1">
        <v>45628</v>
      </c>
      <c r="B625" t="s">
        <v>19</v>
      </c>
      <c r="C625" t="s">
        <v>26</v>
      </c>
      <c r="D625">
        <v>9</v>
      </c>
      <c r="E625">
        <v>363.39</v>
      </c>
      <c r="F625" t="s">
        <v>31</v>
      </c>
      <c r="G625" t="s">
        <v>35</v>
      </c>
      <c r="H625">
        <v>0.05</v>
      </c>
      <c r="I625" t="s">
        <v>41</v>
      </c>
      <c r="J625">
        <v>3106.9845</v>
      </c>
      <c r="K625" t="s">
        <v>44</v>
      </c>
      <c r="L625" t="s">
        <v>2927</v>
      </c>
      <c r="M625">
        <v>0</v>
      </c>
      <c r="N625" t="s">
        <v>674</v>
      </c>
      <c r="O625" t="s">
        <v>1652</v>
      </c>
      <c r="P625">
        <v>41.64</v>
      </c>
      <c r="Q625" s="1">
        <v>45628</v>
      </c>
      <c r="R625" s="1">
        <v>45630</v>
      </c>
      <c r="S625" t="s">
        <v>2922</v>
      </c>
    </row>
    <row r="626" spans="1:19" x14ac:dyDescent="0.3">
      <c r="A626" s="1">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1">
        <v>45503</v>
      </c>
      <c r="R626" s="1">
        <v>45508</v>
      </c>
      <c r="S626" t="s">
        <v>2926</v>
      </c>
    </row>
    <row r="627" spans="1:19" x14ac:dyDescent="0.3">
      <c r="A627" s="1">
        <v>45102</v>
      </c>
      <c r="B627" t="s">
        <v>20</v>
      </c>
      <c r="C627" t="s">
        <v>26</v>
      </c>
      <c r="D627">
        <v>12</v>
      </c>
      <c r="E627">
        <v>192.03</v>
      </c>
      <c r="F627" t="s">
        <v>31</v>
      </c>
      <c r="G627" t="s">
        <v>35</v>
      </c>
      <c r="H627">
        <v>0.1</v>
      </c>
      <c r="I627" t="s">
        <v>40</v>
      </c>
      <c r="J627">
        <v>2073.924</v>
      </c>
      <c r="K627" t="s">
        <v>45</v>
      </c>
      <c r="L627" t="s">
        <v>2927</v>
      </c>
      <c r="M627">
        <v>0</v>
      </c>
      <c r="N627" t="s">
        <v>676</v>
      </c>
      <c r="O627" t="s">
        <v>2151</v>
      </c>
      <c r="P627">
        <v>41.08</v>
      </c>
      <c r="Q627" s="1">
        <v>45102</v>
      </c>
      <c r="R627" s="1">
        <v>45110</v>
      </c>
      <c r="S627" t="s">
        <v>2923</v>
      </c>
    </row>
    <row r="628" spans="1:19" x14ac:dyDescent="0.3">
      <c r="A628" s="1">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1">
        <v>45483</v>
      </c>
      <c r="R628" s="1">
        <v>45492</v>
      </c>
      <c r="S628" t="s">
        <v>2923</v>
      </c>
    </row>
    <row r="629" spans="1:19" x14ac:dyDescent="0.3">
      <c r="A629" s="1">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1">
        <v>44932</v>
      </c>
      <c r="R629" s="1">
        <v>44941</v>
      </c>
      <c r="S629" t="s">
        <v>2922</v>
      </c>
    </row>
    <row r="630" spans="1:19" x14ac:dyDescent="0.3">
      <c r="A630" s="1">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1">
        <v>45346</v>
      </c>
      <c r="R630" s="1">
        <v>45351</v>
      </c>
      <c r="S630" t="s">
        <v>2923</v>
      </c>
    </row>
    <row r="631" spans="1:19" x14ac:dyDescent="0.3">
      <c r="A631" s="1">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1">
        <v>45271</v>
      </c>
      <c r="R631" s="1">
        <v>45280</v>
      </c>
      <c r="S631" t="s">
        <v>2925</v>
      </c>
    </row>
    <row r="632" spans="1:19" x14ac:dyDescent="0.3">
      <c r="A632" s="1">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1">
        <v>45707</v>
      </c>
      <c r="R632" s="1">
        <v>45711</v>
      </c>
      <c r="S632" t="s">
        <v>2923</v>
      </c>
    </row>
    <row r="633" spans="1:19" x14ac:dyDescent="0.3">
      <c r="A633" s="1">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1">
        <v>45734</v>
      </c>
      <c r="R633" s="1">
        <v>45742</v>
      </c>
      <c r="S633" t="s">
        <v>2926</v>
      </c>
    </row>
    <row r="634" spans="1:19" x14ac:dyDescent="0.3">
      <c r="A634" s="1">
        <v>45191</v>
      </c>
      <c r="B634" t="s">
        <v>20</v>
      </c>
      <c r="C634" t="s">
        <v>25</v>
      </c>
      <c r="D634">
        <v>7</v>
      </c>
      <c r="E634">
        <v>480.08</v>
      </c>
      <c r="F634" t="s">
        <v>31</v>
      </c>
      <c r="G634" t="s">
        <v>35</v>
      </c>
      <c r="H634">
        <v>0.1</v>
      </c>
      <c r="I634" t="s">
        <v>41</v>
      </c>
      <c r="J634">
        <v>3024.5039999999999</v>
      </c>
      <c r="K634" t="s">
        <v>43</v>
      </c>
      <c r="L634" t="s">
        <v>2927</v>
      </c>
      <c r="M634">
        <v>1</v>
      </c>
      <c r="N634" t="s">
        <v>683</v>
      </c>
      <c r="O634" t="s">
        <v>2158</v>
      </c>
      <c r="P634">
        <v>44.37</v>
      </c>
      <c r="Q634" s="1">
        <v>45191</v>
      </c>
      <c r="R634" s="1">
        <v>45196</v>
      </c>
      <c r="S634" t="s">
        <v>2923</v>
      </c>
    </row>
    <row r="635" spans="1:19" x14ac:dyDescent="0.3">
      <c r="A635" s="1">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1">
        <v>45283</v>
      </c>
      <c r="R635" s="1">
        <v>45288</v>
      </c>
      <c r="S635" t="s">
        <v>2926</v>
      </c>
    </row>
    <row r="636" spans="1:19" x14ac:dyDescent="0.3">
      <c r="A636" s="1">
        <v>45781</v>
      </c>
      <c r="B636" t="s">
        <v>21</v>
      </c>
      <c r="C636" t="s">
        <v>26</v>
      </c>
      <c r="D636">
        <v>6</v>
      </c>
      <c r="E636">
        <v>249.09</v>
      </c>
      <c r="F636" t="s">
        <v>31</v>
      </c>
      <c r="G636" t="s">
        <v>36</v>
      </c>
      <c r="H636">
        <v>0.05</v>
      </c>
      <c r="I636" t="s">
        <v>39</v>
      </c>
      <c r="J636">
        <v>1419.8130000000001</v>
      </c>
      <c r="K636" t="s">
        <v>47</v>
      </c>
      <c r="L636" t="s">
        <v>2927</v>
      </c>
      <c r="M636">
        <v>0</v>
      </c>
      <c r="N636" t="s">
        <v>685</v>
      </c>
      <c r="O636" t="s">
        <v>2160</v>
      </c>
      <c r="P636">
        <v>20.38</v>
      </c>
      <c r="Q636" s="1">
        <v>45781</v>
      </c>
      <c r="R636" s="1">
        <v>45787</v>
      </c>
      <c r="S636" t="s">
        <v>2924</v>
      </c>
    </row>
    <row r="637" spans="1:19" x14ac:dyDescent="0.3">
      <c r="A637" s="1">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1">
        <v>45668</v>
      </c>
      <c r="R637" s="1">
        <v>45670</v>
      </c>
      <c r="S637" t="s">
        <v>2922</v>
      </c>
    </row>
    <row r="638" spans="1:19" x14ac:dyDescent="0.3">
      <c r="A638" s="1">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1">
        <v>45768</v>
      </c>
      <c r="R638" s="1">
        <v>45771</v>
      </c>
      <c r="S638" t="s">
        <v>2923</v>
      </c>
    </row>
    <row r="639" spans="1:19" x14ac:dyDescent="0.3">
      <c r="A639" s="1">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1">
        <v>45273</v>
      </c>
      <c r="R639" s="1">
        <v>45282</v>
      </c>
      <c r="S639" t="s">
        <v>2925</v>
      </c>
    </row>
    <row r="640" spans="1:19" x14ac:dyDescent="0.3">
      <c r="A640" s="1">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1">
        <v>45329</v>
      </c>
      <c r="R640" s="1">
        <v>45333</v>
      </c>
      <c r="S640" t="s">
        <v>2922</v>
      </c>
    </row>
    <row r="641" spans="1:19" x14ac:dyDescent="0.3">
      <c r="A641" s="1">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1">
        <v>45406</v>
      </c>
      <c r="R641" s="1">
        <v>45409</v>
      </c>
      <c r="S641" t="s">
        <v>2924</v>
      </c>
    </row>
    <row r="642" spans="1:19" x14ac:dyDescent="0.3">
      <c r="A642" s="1">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1">
        <v>45180</v>
      </c>
      <c r="R642" s="1">
        <v>45185</v>
      </c>
      <c r="S642" t="s">
        <v>2926</v>
      </c>
    </row>
    <row r="643" spans="1:19" x14ac:dyDescent="0.3">
      <c r="A643" s="1">
        <v>45817</v>
      </c>
      <c r="B643" t="s">
        <v>22</v>
      </c>
      <c r="C643" t="s">
        <v>30</v>
      </c>
      <c r="D643">
        <v>2</v>
      </c>
      <c r="E643">
        <v>89.6</v>
      </c>
      <c r="F643" t="s">
        <v>32</v>
      </c>
      <c r="G643" t="s">
        <v>36</v>
      </c>
      <c r="H643">
        <v>0</v>
      </c>
      <c r="I643" t="s">
        <v>41</v>
      </c>
      <c r="J643">
        <v>179.2</v>
      </c>
      <c r="K643" t="s">
        <v>44</v>
      </c>
      <c r="L643" t="s">
        <v>48</v>
      </c>
      <c r="M643">
        <v>0</v>
      </c>
      <c r="N643" t="s">
        <v>692</v>
      </c>
      <c r="O643" t="s">
        <v>2166</v>
      </c>
      <c r="P643">
        <v>23.69</v>
      </c>
      <c r="Q643" s="1">
        <v>45817</v>
      </c>
      <c r="R643" s="1">
        <v>45820</v>
      </c>
      <c r="S643" t="s">
        <v>2925</v>
      </c>
    </row>
    <row r="644" spans="1:19" x14ac:dyDescent="0.3">
      <c r="A644" s="1">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1">
        <v>45814</v>
      </c>
      <c r="R644" s="1">
        <v>45824</v>
      </c>
      <c r="S644" t="s">
        <v>2922</v>
      </c>
    </row>
    <row r="645" spans="1:19" x14ac:dyDescent="0.3">
      <c r="A645" s="1">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1">
        <v>45649</v>
      </c>
      <c r="R645" s="1">
        <v>45654</v>
      </c>
      <c r="S645" t="s">
        <v>2923</v>
      </c>
    </row>
    <row r="646" spans="1:19" x14ac:dyDescent="0.3">
      <c r="A646" s="1">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1">
        <v>45165</v>
      </c>
      <c r="R646" s="1">
        <v>45172</v>
      </c>
      <c r="S646" t="s">
        <v>2922</v>
      </c>
    </row>
    <row r="647" spans="1:19" x14ac:dyDescent="0.3">
      <c r="A647" s="1">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1">
        <v>44935</v>
      </c>
      <c r="R647" s="1">
        <v>44939</v>
      </c>
      <c r="S647" t="s">
        <v>2922</v>
      </c>
    </row>
    <row r="648" spans="1:19" x14ac:dyDescent="0.3">
      <c r="A648" s="1">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1">
        <v>45769</v>
      </c>
      <c r="R648" s="1">
        <v>45772</v>
      </c>
      <c r="S648" t="s">
        <v>2922</v>
      </c>
    </row>
    <row r="649" spans="1:19" x14ac:dyDescent="0.3">
      <c r="A649" s="1">
        <v>45175</v>
      </c>
      <c r="B649" t="s">
        <v>20</v>
      </c>
      <c r="C649" t="s">
        <v>25</v>
      </c>
      <c r="D649">
        <v>7</v>
      </c>
      <c r="E649">
        <v>18.36</v>
      </c>
      <c r="F649" t="s">
        <v>34</v>
      </c>
      <c r="G649" t="s">
        <v>36</v>
      </c>
      <c r="H649">
        <v>0.1</v>
      </c>
      <c r="I649" t="s">
        <v>38</v>
      </c>
      <c r="J649">
        <v>115.66800000000001</v>
      </c>
      <c r="K649" t="s">
        <v>43</v>
      </c>
      <c r="L649" t="s">
        <v>2927</v>
      </c>
      <c r="M649">
        <v>0</v>
      </c>
      <c r="N649" t="s">
        <v>698</v>
      </c>
      <c r="O649" t="s">
        <v>2172</v>
      </c>
      <c r="P649">
        <v>48.92</v>
      </c>
      <c r="Q649" s="1">
        <v>45175</v>
      </c>
      <c r="R649" s="1">
        <v>45180</v>
      </c>
      <c r="S649" t="s">
        <v>2923</v>
      </c>
    </row>
    <row r="650" spans="1:19" x14ac:dyDescent="0.3">
      <c r="A650" s="1">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1">
        <v>44947</v>
      </c>
      <c r="R650" s="1">
        <v>44953</v>
      </c>
      <c r="S650" t="s">
        <v>2922</v>
      </c>
    </row>
    <row r="651" spans="1:19" x14ac:dyDescent="0.3">
      <c r="A651" s="1">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1">
        <v>45408</v>
      </c>
      <c r="R651" s="1">
        <v>45418</v>
      </c>
      <c r="S651" t="s">
        <v>2925</v>
      </c>
    </row>
    <row r="652" spans="1:19" x14ac:dyDescent="0.3">
      <c r="A652" s="1">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1">
        <v>45104</v>
      </c>
      <c r="R652" s="1">
        <v>45107</v>
      </c>
      <c r="S652" t="s">
        <v>2924</v>
      </c>
    </row>
    <row r="653" spans="1:19" x14ac:dyDescent="0.3">
      <c r="A653" s="1">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1">
        <v>44927</v>
      </c>
      <c r="R653" s="1">
        <v>44934</v>
      </c>
      <c r="S653" t="s">
        <v>2922</v>
      </c>
    </row>
    <row r="654" spans="1:19" x14ac:dyDescent="0.3">
      <c r="A654" s="1">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1">
        <v>45290</v>
      </c>
      <c r="R654" s="1">
        <v>45293</v>
      </c>
      <c r="S654" t="s">
        <v>2926</v>
      </c>
    </row>
    <row r="655" spans="1:19" x14ac:dyDescent="0.3">
      <c r="A655" s="1">
        <v>44948</v>
      </c>
      <c r="B655" t="s">
        <v>22</v>
      </c>
      <c r="C655" t="s">
        <v>25</v>
      </c>
      <c r="D655">
        <v>6</v>
      </c>
      <c r="E655">
        <v>104.19</v>
      </c>
      <c r="F655" t="s">
        <v>33</v>
      </c>
      <c r="G655" t="s">
        <v>36</v>
      </c>
      <c r="H655">
        <v>0.1</v>
      </c>
      <c r="I655" t="s">
        <v>41</v>
      </c>
      <c r="J655">
        <v>562.62599999999998</v>
      </c>
      <c r="K655" t="s">
        <v>43</v>
      </c>
      <c r="L655" t="s">
        <v>2927</v>
      </c>
      <c r="M655">
        <v>0</v>
      </c>
      <c r="N655" t="s">
        <v>704</v>
      </c>
      <c r="O655" t="s">
        <v>2178</v>
      </c>
      <c r="P655">
        <v>8.6199999999999992</v>
      </c>
      <c r="Q655" s="1">
        <v>44948</v>
      </c>
      <c r="R655" s="1">
        <v>44950</v>
      </c>
      <c r="S655" t="s">
        <v>2925</v>
      </c>
    </row>
    <row r="656" spans="1:19" x14ac:dyDescent="0.3">
      <c r="A656" s="1">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1">
        <v>45500</v>
      </c>
      <c r="R656" s="1">
        <v>45509</v>
      </c>
      <c r="S656" t="s">
        <v>2923</v>
      </c>
    </row>
    <row r="657" spans="1:19" x14ac:dyDescent="0.3">
      <c r="A657" s="1">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1">
        <v>45306</v>
      </c>
      <c r="R657" s="1">
        <v>45308</v>
      </c>
      <c r="S657" t="s">
        <v>2923</v>
      </c>
    </row>
    <row r="658" spans="1:19" x14ac:dyDescent="0.3">
      <c r="A658" s="1">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1">
        <v>45295</v>
      </c>
      <c r="R658" s="1">
        <v>45305</v>
      </c>
      <c r="S658" t="s">
        <v>2926</v>
      </c>
    </row>
    <row r="659" spans="1:19" x14ac:dyDescent="0.3">
      <c r="A659" s="1">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1">
        <v>44966</v>
      </c>
      <c r="R659" s="1">
        <v>44976</v>
      </c>
      <c r="S659" t="s">
        <v>2922</v>
      </c>
    </row>
    <row r="660" spans="1:19" x14ac:dyDescent="0.3">
      <c r="A660" s="1">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1">
        <v>45463</v>
      </c>
      <c r="R660" s="1">
        <v>45467</v>
      </c>
      <c r="S660" t="s">
        <v>2924</v>
      </c>
    </row>
    <row r="661" spans="1:19" x14ac:dyDescent="0.3">
      <c r="A661" s="1">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1">
        <v>44978</v>
      </c>
      <c r="R661" s="1">
        <v>44988</v>
      </c>
      <c r="S661" t="s">
        <v>2925</v>
      </c>
    </row>
    <row r="662" spans="1:19" x14ac:dyDescent="0.3">
      <c r="A662" s="1">
        <v>45154</v>
      </c>
      <c r="B662" t="s">
        <v>22</v>
      </c>
      <c r="C662" t="s">
        <v>26</v>
      </c>
      <c r="D662">
        <v>8</v>
      </c>
      <c r="E662">
        <v>355.15</v>
      </c>
      <c r="F662" t="s">
        <v>31</v>
      </c>
      <c r="G662" t="s">
        <v>36</v>
      </c>
      <c r="H662">
        <v>0.1</v>
      </c>
      <c r="I662" t="s">
        <v>40</v>
      </c>
      <c r="J662">
        <v>2557.08</v>
      </c>
      <c r="K662" t="s">
        <v>43</v>
      </c>
      <c r="L662" t="s">
        <v>2927</v>
      </c>
      <c r="M662">
        <v>1</v>
      </c>
      <c r="N662" t="s">
        <v>711</v>
      </c>
      <c r="O662" t="s">
        <v>2184</v>
      </c>
      <c r="P662">
        <v>38.590000000000003</v>
      </c>
      <c r="Q662" s="1">
        <v>45154</v>
      </c>
      <c r="R662" s="1">
        <v>45162</v>
      </c>
      <c r="S662" t="s">
        <v>2925</v>
      </c>
    </row>
    <row r="663" spans="1:19" x14ac:dyDescent="0.3">
      <c r="A663" s="1">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1">
        <v>45233</v>
      </c>
      <c r="R663" s="1">
        <v>45241</v>
      </c>
      <c r="S663" t="s">
        <v>2926</v>
      </c>
    </row>
    <row r="664" spans="1:19" x14ac:dyDescent="0.3">
      <c r="A664" s="1">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1">
        <v>45408</v>
      </c>
      <c r="R664" s="1">
        <v>45413</v>
      </c>
      <c r="S664" t="s">
        <v>2923</v>
      </c>
    </row>
    <row r="665" spans="1:19" x14ac:dyDescent="0.3">
      <c r="A665" s="1">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1">
        <v>45573</v>
      </c>
      <c r="R665" s="1">
        <v>45582</v>
      </c>
      <c r="S665" t="s">
        <v>2923</v>
      </c>
    </row>
    <row r="666" spans="1:19" x14ac:dyDescent="0.3">
      <c r="A666" s="1">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1">
        <v>44935</v>
      </c>
      <c r="R666" s="1">
        <v>44943</v>
      </c>
      <c r="S666" t="s">
        <v>2923</v>
      </c>
    </row>
    <row r="667" spans="1:19" x14ac:dyDescent="0.3">
      <c r="A667" s="1">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1">
        <v>45285</v>
      </c>
      <c r="R667" s="1">
        <v>45293</v>
      </c>
      <c r="S667" t="s">
        <v>2924</v>
      </c>
    </row>
    <row r="668" spans="1:19" x14ac:dyDescent="0.3">
      <c r="A668" s="1">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1">
        <v>45423</v>
      </c>
      <c r="R668" s="1">
        <v>45432</v>
      </c>
      <c r="S668" t="s">
        <v>2925</v>
      </c>
    </row>
    <row r="669" spans="1:19" x14ac:dyDescent="0.3">
      <c r="A669" s="1">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1">
        <v>45253</v>
      </c>
      <c r="R669" s="1">
        <v>45256</v>
      </c>
      <c r="S669" t="s">
        <v>2926</v>
      </c>
    </row>
    <row r="670" spans="1:19" x14ac:dyDescent="0.3">
      <c r="A670" s="1">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1">
        <v>45270</v>
      </c>
      <c r="R670" s="1">
        <v>45272</v>
      </c>
      <c r="S670" t="s">
        <v>2925</v>
      </c>
    </row>
    <row r="671" spans="1:19" x14ac:dyDescent="0.3">
      <c r="A671" s="1">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1">
        <v>45325</v>
      </c>
      <c r="R671" s="1">
        <v>45327</v>
      </c>
      <c r="S671" t="s">
        <v>2924</v>
      </c>
    </row>
    <row r="672" spans="1:19" x14ac:dyDescent="0.3">
      <c r="A672" s="1">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1">
        <v>45620</v>
      </c>
      <c r="R672" s="1">
        <v>45630</v>
      </c>
      <c r="S672" t="s">
        <v>2925</v>
      </c>
    </row>
    <row r="673" spans="1:19" x14ac:dyDescent="0.3">
      <c r="A673" s="1">
        <v>45357</v>
      </c>
      <c r="B673" t="s">
        <v>23</v>
      </c>
      <c r="C673" t="s">
        <v>25</v>
      </c>
      <c r="D673">
        <v>1</v>
      </c>
      <c r="E673">
        <v>381.21</v>
      </c>
      <c r="F673" t="s">
        <v>34</v>
      </c>
      <c r="G673" t="s">
        <v>35</v>
      </c>
      <c r="H673">
        <v>0.15</v>
      </c>
      <c r="I673" t="s">
        <v>42</v>
      </c>
      <c r="J673">
        <v>324.02850000000001</v>
      </c>
      <c r="K673" t="s">
        <v>43</v>
      </c>
      <c r="L673" t="s">
        <v>2927</v>
      </c>
      <c r="M673">
        <v>0</v>
      </c>
      <c r="N673" t="s">
        <v>722</v>
      </c>
      <c r="O673" t="s">
        <v>2195</v>
      </c>
      <c r="P673">
        <v>9.9499999999999993</v>
      </c>
      <c r="Q673" s="1">
        <v>45357</v>
      </c>
      <c r="R673" s="1">
        <v>45362</v>
      </c>
      <c r="S673" t="s">
        <v>2926</v>
      </c>
    </row>
    <row r="674" spans="1:19" x14ac:dyDescent="0.3">
      <c r="A674" s="1">
        <v>45689</v>
      </c>
      <c r="B674" t="s">
        <v>20</v>
      </c>
      <c r="C674" t="s">
        <v>26</v>
      </c>
      <c r="D674">
        <v>5</v>
      </c>
      <c r="E674">
        <v>38.229999999999997</v>
      </c>
      <c r="F674" t="s">
        <v>33</v>
      </c>
      <c r="G674" t="s">
        <v>35</v>
      </c>
      <c r="H674">
        <v>0.15</v>
      </c>
      <c r="I674" t="s">
        <v>42</v>
      </c>
      <c r="J674">
        <v>162.47749999999999</v>
      </c>
      <c r="K674" t="s">
        <v>46</v>
      </c>
      <c r="L674" t="s">
        <v>2927</v>
      </c>
      <c r="M674">
        <v>0</v>
      </c>
      <c r="N674" t="s">
        <v>723</v>
      </c>
      <c r="O674" t="s">
        <v>2196</v>
      </c>
      <c r="P674">
        <v>21.06</v>
      </c>
      <c r="Q674" s="1">
        <v>45689</v>
      </c>
      <c r="R674" s="1">
        <v>45699</v>
      </c>
      <c r="S674" t="s">
        <v>2923</v>
      </c>
    </row>
    <row r="675" spans="1:19" x14ac:dyDescent="0.3">
      <c r="A675" s="1">
        <v>45447</v>
      </c>
      <c r="B675" t="s">
        <v>22</v>
      </c>
      <c r="C675" t="s">
        <v>24</v>
      </c>
      <c r="D675">
        <v>7</v>
      </c>
      <c r="E675">
        <v>225.86</v>
      </c>
      <c r="F675" t="s">
        <v>31</v>
      </c>
      <c r="G675" t="s">
        <v>35</v>
      </c>
      <c r="H675">
        <v>0</v>
      </c>
      <c r="I675" t="s">
        <v>40</v>
      </c>
      <c r="J675">
        <v>1581.02</v>
      </c>
      <c r="K675" t="s">
        <v>46</v>
      </c>
      <c r="L675" t="s">
        <v>2927</v>
      </c>
      <c r="M675">
        <v>0</v>
      </c>
      <c r="N675" t="s">
        <v>724</v>
      </c>
      <c r="O675" t="s">
        <v>2197</v>
      </c>
      <c r="P675">
        <v>24.48</v>
      </c>
      <c r="Q675" s="1">
        <v>45447</v>
      </c>
      <c r="R675" s="1">
        <v>45452</v>
      </c>
      <c r="S675" t="s">
        <v>2925</v>
      </c>
    </row>
    <row r="676" spans="1:19" x14ac:dyDescent="0.3">
      <c r="A676" s="1">
        <v>45144</v>
      </c>
      <c r="B676" t="s">
        <v>22</v>
      </c>
      <c r="C676" t="s">
        <v>26</v>
      </c>
      <c r="D676">
        <v>8</v>
      </c>
      <c r="E676">
        <v>548.02</v>
      </c>
      <c r="F676" t="s">
        <v>34</v>
      </c>
      <c r="G676" t="s">
        <v>36</v>
      </c>
      <c r="H676">
        <v>0.05</v>
      </c>
      <c r="I676" t="s">
        <v>37</v>
      </c>
      <c r="J676">
        <v>4164.9519999999993</v>
      </c>
      <c r="K676" t="s">
        <v>43</v>
      </c>
      <c r="L676" t="s">
        <v>2927</v>
      </c>
      <c r="M676">
        <v>0</v>
      </c>
      <c r="N676" t="s">
        <v>725</v>
      </c>
      <c r="O676" t="s">
        <v>2198</v>
      </c>
      <c r="P676">
        <v>33.4</v>
      </c>
      <c r="Q676" s="1">
        <v>45144</v>
      </c>
      <c r="R676" s="1">
        <v>45151</v>
      </c>
      <c r="S676" t="s">
        <v>2925</v>
      </c>
    </row>
    <row r="677" spans="1:19" x14ac:dyDescent="0.3">
      <c r="A677" s="1">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1">
        <v>45107</v>
      </c>
      <c r="R677" s="1">
        <v>45112</v>
      </c>
      <c r="S677" t="s">
        <v>2926</v>
      </c>
    </row>
    <row r="678" spans="1:19" x14ac:dyDescent="0.3">
      <c r="A678" s="1">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1">
        <v>44972</v>
      </c>
      <c r="R678" s="1">
        <v>44976</v>
      </c>
      <c r="S678" t="s">
        <v>2926</v>
      </c>
    </row>
    <row r="679" spans="1:19" x14ac:dyDescent="0.3">
      <c r="A679" s="1">
        <v>45314</v>
      </c>
      <c r="B679" t="s">
        <v>21</v>
      </c>
      <c r="C679" t="s">
        <v>30</v>
      </c>
      <c r="D679">
        <v>8</v>
      </c>
      <c r="E679">
        <v>50.72</v>
      </c>
      <c r="F679" t="s">
        <v>32</v>
      </c>
      <c r="G679" t="s">
        <v>35</v>
      </c>
      <c r="H679">
        <v>0.05</v>
      </c>
      <c r="I679" t="s">
        <v>40</v>
      </c>
      <c r="J679">
        <v>385.47199999999998</v>
      </c>
      <c r="K679" t="s">
        <v>46</v>
      </c>
      <c r="L679" t="s">
        <v>2927</v>
      </c>
      <c r="M679">
        <v>0</v>
      </c>
      <c r="N679" t="s">
        <v>728</v>
      </c>
      <c r="O679" t="s">
        <v>2201</v>
      </c>
      <c r="P679">
        <v>12.35</v>
      </c>
      <c r="Q679" s="1">
        <v>45314</v>
      </c>
      <c r="R679" s="1">
        <v>45321</v>
      </c>
      <c r="S679" t="s">
        <v>2924</v>
      </c>
    </row>
    <row r="680" spans="1:19" x14ac:dyDescent="0.3">
      <c r="A680" s="1">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1">
        <v>45596</v>
      </c>
      <c r="R680" s="1">
        <v>45602</v>
      </c>
      <c r="S680" t="s">
        <v>2924</v>
      </c>
    </row>
    <row r="681" spans="1:19" x14ac:dyDescent="0.3">
      <c r="A681" s="1">
        <v>45279</v>
      </c>
      <c r="B681" t="s">
        <v>22</v>
      </c>
      <c r="C681" t="s">
        <v>26</v>
      </c>
      <c r="D681">
        <v>20</v>
      </c>
      <c r="E681">
        <v>51.85</v>
      </c>
      <c r="F681" t="s">
        <v>33</v>
      </c>
      <c r="G681" t="s">
        <v>35</v>
      </c>
      <c r="H681">
        <v>0.15</v>
      </c>
      <c r="I681" t="s">
        <v>40</v>
      </c>
      <c r="J681">
        <v>881.44999999999993</v>
      </c>
      <c r="K681" t="s">
        <v>47</v>
      </c>
      <c r="L681" t="s">
        <v>2927</v>
      </c>
      <c r="M681">
        <v>0</v>
      </c>
      <c r="N681" t="s">
        <v>730</v>
      </c>
      <c r="O681" t="s">
        <v>2203</v>
      </c>
      <c r="P681">
        <v>33.159999999999997</v>
      </c>
      <c r="Q681" s="1">
        <v>45279</v>
      </c>
      <c r="R681" s="1">
        <v>45281</v>
      </c>
      <c r="S681" t="s">
        <v>2925</v>
      </c>
    </row>
    <row r="682" spans="1:19" x14ac:dyDescent="0.3">
      <c r="A682" s="1">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1">
        <v>45111</v>
      </c>
      <c r="R682" s="1">
        <v>45113</v>
      </c>
      <c r="S682" t="s">
        <v>2923</v>
      </c>
    </row>
    <row r="683" spans="1:19" x14ac:dyDescent="0.3">
      <c r="A683" s="1">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1">
        <v>45428</v>
      </c>
      <c r="R683" s="1">
        <v>45430</v>
      </c>
      <c r="S683" t="s">
        <v>2922</v>
      </c>
    </row>
    <row r="684" spans="1:19" x14ac:dyDescent="0.3">
      <c r="A684" s="1">
        <v>45185</v>
      </c>
      <c r="B684" t="s">
        <v>21</v>
      </c>
      <c r="C684" t="s">
        <v>28</v>
      </c>
      <c r="D684">
        <v>8</v>
      </c>
      <c r="E684">
        <v>204.84</v>
      </c>
      <c r="F684" t="s">
        <v>33</v>
      </c>
      <c r="G684" t="s">
        <v>36</v>
      </c>
      <c r="H684">
        <v>0</v>
      </c>
      <c r="I684" t="s">
        <v>42</v>
      </c>
      <c r="J684">
        <v>1638.72</v>
      </c>
      <c r="K684" t="s">
        <v>47</v>
      </c>
      <c r="L684" t="s">
        <v>2927</v>
      </c>
      <c r="M684">
        <v>0</v>
      </c>
      <c r="N684" t="s">
        <v>733</v>
      </c>
      <c r="O684" t="s">
        <v>2205</v>
      </c>
      <c r="P684">
        <v>43.4</v>
      </c>
      <c r="Q684" s="1">
        <v>45185</v>
      </c>
      <c r="R684" s="1">
        <v>45190</v>
      </c>
      <c r="S684" t="s">
        <v>2924</v>
      </c>
    </row>
    <row r="685" spans="1:19" x14ac:dyDescent="0.3">
      <c r="A685" s="1">
        <v>45618</v>
      </c>
      <c r="B685" t="s">
        <v>19</v>
      </c>
      <c r="C685" t="s">
        <v>27</v>
      </c>
      <c r="D685">
        <v>3</v>
      </c>
      <c r="E685">
        <v>536.97</v>
      </c>
      <c r="F685" t="s">
        <v>33</v>
      </c>
      <c r="G685" t="s">
        <v>35</v>
      </c>
      <c r="H685">
        <v>0</v>
      </c>
      <c r="I685" t="s">
        <v>40</v>
      </c>
      <c r="J685">
        <v>1610.91</v>
      </c>
      <c r="K685" t="s">
        <v>46</v>
      </c>
      <c r="L685" t="s">
        <v>2927</v>
      </c>
      <c r="M685">
        <v>0</v>
      </c>
      <c r="N685" t="s">
        <v>734</v>
      </c>
      <c r="O685" t="s">
        <v>2206</v>
      </c>
      <c r="P685">
        <v>13.86</v>
      </c>
      <c r="Q685" s="1">
        <v>45618</v>
      </c>
      <c r="R685" s="1">
        <v>45627</v>
      </c>
      <c r="S685" t="s">
        <v>2922</v>
      </c>
    </row>
    <row r="686" spans="1:19" x14ac:dyDescent="0.3">
      <c r="A686" s="1">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1">
        <v>45395</v>
      </c>
      <c r="R686" s="1">
        <v>45403</v>
      </c>
      <c r="S686" t="s">
        <v>2926</v>
      </c>
    </row>
    <row r="687" spans="1:19" x14ac:dyDescent="0.3">
      <c r="A687" s="1">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1">
        <v>45473</v>
      </c>
      <c r="R687" s="1">
        <v>45479</v>
      </c>
      <c r="S687" t="s">
        <v>2923</v>
      </c>
    </row>
    <row r="688" spans="1:19" x14ac:dyDescent="0.3">
      <c r="A688" s="1">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1">
        <v>45533</v>
      </c>
      <c r="R688" s="1">
        <v>45537</v>
      </c>
      <c r="S688" t="s">
        <v>2924</v>
      </c>
    </row>
    <row r="689" spans="1:19" x14ac:dyDescent="0.3">
      <c r="A689" s="1">
        <v>45286</v>
      </c>
      <c r="B689" t="s">
        <v>22</v>
      </c>
      <c r="C689" t="s">
        <v>26</v>
      </c>
      <c r="D689">
        <v>3</v>
      </c>
      <c r="E689">
        <v>232.13</v>
      </c>
      <c r="F689" t="s">
        <v>31</v>
      </c>
      <c r="G689" t="s">
        <v>36</v>
      </c>
      <c r="H689">
        <v>0.1</v>
      </c>
      <c r="I689" t="s">
        <v>41</v>
      </c>
      <c r="J689">
        <v>626.75099999999998</v>
      </c>
      <c r="K689" t="s">
        <v>47</v>
      </c>
      <c r="L689" t="s">
        <v>2927</v>
      </c>
      <c r="M689">
        <v>1</v>
      </c>
      <c r="N689" t="s">
        <v>738</v>
      </c>
      <c r="O689" t="s">
        <v>2210</v>
      </c>
      <c r="P689">
        <v>46.65</v>
      </c>
      <c r="Q689" s="1">
        <v>45286</v>
      </c>
      <c r="R689" s="1">
        <v>45291</v>
      </c>
      <c r="S689" t="s">
        <v>2925</v>
      </c>
    </row>
    <row r="690" spans="1:19" x14ac:dyDescent="0.3">
      <c r="A690" s="1">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1">
        <v>45687</v>
      </c>
      <c r="R690" s="1">
        <v>45694</v>
      </c>
      <c r="S690" t="s">
        <v>2924</v>
      </c>
    </row>
    <row r="691" spans="1:19" x14ac:dyDescent="0.3">
      <c r="A691" s="1">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1">
        <v>45063</v>
      </c>
      <c r="R691" s="1">
        <v>45071</v>
      </c>
      <c r="S691" t="s">
        <v>2923</v>
      </c>
    </row>
    <row r="692" spans="1:19" x14ac:dyDescent="0.3">
      <c r="A692" s="1">
        <v>45318</v>
      </c>
      <c r="B692" t="s">
        <v>22</v>
      </c>
      <c r="C692" t="s">
        <v>26</v>
      </c>
      <c r="D692">
        <v>17</v>
      </c>
      <c r="E692">
        <v>108.48</v>
      </c>
      <c r="F692" t="s">
        <v>32</v>
      </c>
      <c r="G692" t="s">
        <v>35</v>
      </c>
      <c r="H692">
        <v>0.1</v>
      </c>
      <c r="I692" t="s">
        <v>40</v>
      </c>
      <c r="J692">
        <v>1659.7439999999999</v>
      </c>
      <c r="K692" t="s">
        <v>43</v>
      </c>
      <c r="L692" t="s">
        <v>2927</v>
      </c>
      <c r="M692">
        <v>1</v>
      </c>
      <c r="N692" t="s">
        <v>741</v>
      </c>
      <c r="O692" t="s">
        <v>2213</v>
      </c>
      <c r="P692">
        <v>48.9</v>
      </c>
      <c r="Q692" s="1">
        <v>45318</v>
      </c>
      <c r="R692" s="1">
        <v>45327</v>
      </c>
      <c r="S692" t="s">
        <v>2925</v>
      </c>
    </row>
    <row r="693" spans="1:19" x14ac:dyDescent="0.3">
      <c r="A693" s="1">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1">
        <v>45803</v>
      </c>
      <c r="R693" s="1">
        <v>45810</v>
      </c>
      <c r="S693" t="s">
        <v>2922</v>
      </c>
    </row>
    <row r="694" spans="1:19" x14ac:dyDescent="0.3">
      <c r="A694" s="1">
        <v>45725</v>
      </c>
      <c r="B694" t="s">
        <v>21</v>
      </c>
      <c r="C694" t="s">
        <v>25</v>
      </c>
      <c r="D694">
        <v>1</v>
      </c>
      <c r="E694">
        <v>506.41</v>
      </c>
      <c r="F694" t="s">
        <v>34</v>
      </c>
      <c r="G694" t="s">
        <v>35</v>
      </c>
      <c r="H694">
        <v>0</v>
      </c>
      <c r="I694" t="s">
        <v>42</v>
      </c>
      <c r="J694">
        <v>506.41</v>
      </c>
      <c r="K694" t="s">
        <v>47</v>
      </c>
      <c r="L694" t="s">
        <v>2927</v>
      </c>
      <c r="M694">
        <v>0</v>
      </c>
      <c r="N694" t="s">
        <v>743</v>
      </c>
      <c r="O694" t="s">
        <v>2215</v>
      </c>
      <c r="P694">
        <v>17.899999999999999</v>
      </c>
      <c r="Q694" s="1">
        <v>45725</v>
      </c>
      <c r="R694" s="1">
        <v>45733</v>
      </c>
      <c r="S694" t="s">
        <v>2924</v>
      </c>
    </row>
    <row r="695" spans="1:19" x14ac:dyDescent="0.3">
      <c r="A695" s="1">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1">
        <v>45344</v>
      </c>
      <c r="R695" s="1">
        <v>45354</v>
      </c>
      <c r="S695" t="s">
        <v>2926</v>
      </c>
    </row>
    <row r="696" spans="1:19" x14ac:dyDescent="0.3">
      <c r="A696" s="1">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1">
        <v>45691</v>
      </c>
      <c r="R696" s="1">
        <v>45696</v>
      </c>
      <c r="S696" t="s">
        <v>2922</v>
      </c>
    </row>
    <row r="697" spans="1:19" x14ac:dyDescent="0.3">
      <c r="A697" s="1">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1">
        <v>45300</v>
      </c>
      <c r="R697" s="1">
        <v>45307</v>
      </c>
      <c r="S697" t="s">
        <v>2925</v>
      </c>
    </row>
    <row r="698" spans="1:19" x14ac:dyDescent="0.3">
      <c r="A698" s="1">
        <v>45782</v>
      </c>
      <c r="B698" t="s">
        <v>21</v>
      </c>
      <c r="C698" t="s">
        <v>26</v>
      </c>
      <c r="D698">
        <v>9</v>
      </c>
      <c r="E698">
        <v>292.45999999999998</v>
      </c>
      <c r="F698" t="s">
        <v>32</v>
      </c>
      <c r="G698" t="s">
        <v>35</v>
      </c>
      <c r="H698">
        <v>0.05</v>
      </c>
      <c r="I698" t="s">
        <v>40</v>
      </c>
      <c r="J698">
        <v>2500.5329999999999</v>
      </c>
      <c r="K698" t="s">
        <v>45</v>
      </c>
      <c r="L698" t="s">
        <v>2927</v>
      </c>
      <c r="M698">
        <v>0</v>
      </c>
      <c r="N698" t="s">
        <v>747</v>
      </c>
      <c r="O698" t="s">
        <v>2219</v>
      </c>
      <c r="P698">
        <v>34.26</v>
      </c>
      <c r="Q698" s="1">
        <v>45782</v>
      </c>
      <c r="R698" s="1">
        <v>45791</v>
      </c>
      <c r="S698" t="s">
        <v>2924</v>
      </c>
    </row>
    <row r="699" spans="1:19" x14ac:dyDescent="0.3">
      <c r="A699" s="1">
        <v>45033</v>
      </c>
      <c r="B699" t="s">
        <v>22</v>
      </c>
      <c r="C699" t="s">
        <v>26</v>
      </c>
      <c r="D699">
        <v>5</v>
      </c>
      <c r="E699">
        <v>547.53</v>
      </c>
      <c r="F699" t="s">
        <v>32</v>
      </c>
      <c r="G699" t="s">
        <v>36</v>
      </c>
      <c r="H699">
        <v>0.1</v>
      </c>
      <c r="I699" t="s">
        <v>37</v>
      </c>
      <c r="J699">
        <v>2463.8850000000002</v>
      </c>
      <c r="K699" t="s">
        <v>46</v>
      </c>
      <c r="L699" t="s">
        <v>2927</v>
      </c>
      <c r="M699">
        <v>0</v>
      </c>
      <c r="N699" t="s">
        <v>748</v>
      </c>
      <c r="O699" t="s">
        <v>2220</v>
      </c>
      <c r="P699">
        <v>24.68</v>
      </c>
      <c r="Q699" s="1">
        <v>45033</v>
      </c>
      <c r="R699" s="1">
        <v>45037</v>
      </c>
      <c r="S699" t="s">
        <v>2925</v>
      </c>
    </row>
    <row r="700" spans="1:19" x14ac:dyDescent="0.3">
      <c r="A700" s="1">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1">
        <v>45459</v>
      </c>
      <c r="R700" s="1">
        <v>45464</v>
      </c>
      <c r="S700" t="s">
        <v>2923</v>
      </c>
    </row>
    <row r="701" spans="1:19" x14ac:dyDescent="0.3">
      <c r="A701" s="1">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1">
        <v>45597</v>
      </c>
      <c r="R701" s="1">
        <v>45600</v>
      </c>
      <c r="S701" t="s">
        <v>2923</v>
      </c>
    </row>
    <row r="702" spans="1:19" x14ac:dyDescent="0.3">
      <c r="A702" s="1">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1">
        <v>45695</v>
      </c>
      <c r="R702" s="1">
        <v>45698</v>
      </c>
      <c r="S702" t="s">
        <v>2922</v>
      </c>
    </row>
    <row r="703" spans="1:19" x14ac:dyDescent="0.3">
      <c r="A703" s="1">
        <v>45620</v>
      </c>
      <c r="B703" t="s">
        <v>20</v>
      </c>
      <c r="C703" t="s">
        <v>28</v>
      </c>
      <c r="D703">
        <v>12</v>
      </c>
      <c r="E703">
        <v>173.79</v>
      </c>
      <c r="F703" t="s">
        <v>34</v>
      </c>
      <c r="G703" t="s">
        <v>36</v>
      </c>
      <c r="H703">
        <v>0.15</v>
      </c>
      <c r="I703" t="s">
        <v>37</v>
      </c>
      <c r="J703">
        <v>1772.6579999999999</v>
      </c>
      <c r="K703" t="s">
        <v>45</v>
      </c>
      <c r="L703" t="s">
        <v>2927</v>
      </c>
      <c r="M703">
        <v>0</v>
      </c>
      <c r="N703" t="s">
        <v>752</v>
      </c>
      <c r="O703" t="s">
        <v>2224</v>
      </c>
      <c r="P703">
        <v>21.23</v>
      </c>
      <c r="Q703" s="1">
        <v>45620</v>
      </c>
      <c r="R703" s="1">
        <v>45630</v>
      </c>
      <c r="S703" t="s">
        <v>2923</v>
      </c>
    </row>
    <row r="704" spans="1:19" x14ac:dyDescent="0.3">
      <c r="A704" s="1">
        <v>45405</v>
      </c>
      <c r="B704" t="s">
        <v>22</v>
      </c>
      <c r="C704" t="s">
        <v>28</v>
      </c>
      <c r="D704">
        <v>13</v>
      </c>
      <c r="E704">
        <v>439.75</v>
      </c>
      <c r="F704" t="s">
        <v>32</v>
      </c>
      <c r="G704" t="s">
        <v>35</v>
      </c>
      <c r="H704">
        <v>0</v>
      </c>
      <c r="I704" t="s">
        <v>39</v>
      </c>
      <c r="J704">
        <v>5716.75</v>
      </c>
      <c r="K704" t="s">
        <v>43</v>
      </c>
      <c r="L704" t="s">
        <v>2927</v>
      </c>
      <c r="M704">
        <v>1</v>
      </c>
      <c r="N704" t="s">
        <v>753</v>
      </c>
      <c r="O704" t="s">
        <v>1848</v>
      </c>
      <c r="P704">
        <v>12.23</v>
      </c>
      <c r="Q704" s="1">
        <v>45405</v>
      </c>
      <c r="R704" s="1">
        <v>45414</v>
      </c>
      <c r="S704" t="s">
        <v>2925</v>
      </c>
    </row>
    <row r="705" spans="1:19" x14ac:dyDescent="0.3">
      <c r="A705" s="1">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1">
        <v>45467</v>
      </c>
      <c r="R705" s="1">
        <v>45470</v>
      </c>
      <c r="S705" t="s">
        <v>2922</v>
      </c>
    </row>
    <row r="706" spans="1:19" x14ac:dyDescent="0.3">
      <c r="A706" s="1">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1">
        <v>45809</v>
      </c>
      <c r="R706" s="1">
        <v>45815</v>
      </c>
      <c r="S706" t="s">
        <v>2926</v>
      </c>
    </row>
    <row r="707" spans="1:19" x14ac:dyDescent="0.3">
      <c r="A707" s="1">
        <v>44997</v>
      </c>
      <c r="B707" t="s">
        <v>23</v>
      </c>
      <c r="C707" t="s">
        <v>29</v>
      </c>
      <c r="D707">
        <v>6</v>
      </c>
      <c r="E707">
        <v>88.7</v>
      </c>
      <c r="F707" t="s">
        <v>31</v>
      </c>
      <c r="G707" t="s">
        <v>35</v>
      </c>
      <c r="H707">
        <v>0</v>
      </c>
      <c r="I707" t="s">
        <v>40</v>
      </c>
      <c r="J707">
        <v>532.20000000000005</v>
      </c>
      <c r="K707" t="s">
        <v>44</v>
      </c>
      <c r="L707" t="s">
        <v>2927</v>
      </c>
      <c r="M707">
        <v>0</v>
      </c>
      <c r="N707" t="s">
        <v>756</v>
      </c>
      <c r="O707" t="s">
        <v>2227</v>
      </c>
      <c r="P707">
        <v>16.98</v>
      </c>
      <c r="Q707" s="1">
        <v>44997</v>
      </c>
      <c r="R707" s="1">
        <v>44999</v>
      </c>
      <c r="S707" t="s">
        <v>2926</v>
      </c>
    </row>
    <row r="708" spans="1:19" x14ac:dyDescent="0.3">
      <c r="A708" s="1">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1">
        <v>45607</v>
      </c>
      <c r="R708" s="1">
        <v>45615</v>
      </c>
      <c r="S708" t="s">
        <v>2925</v>
      </c>
    </row>
    <row r="709" spans="1:19" x14ac:dyDescent="0.3">
      <c r="A709" s="1">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1">
        <v>45582</v>
      </c>
      <c r="R709" s="1">
        <v>45591</v>
      </c>
      <c r="S709" t="s">
        <v>2925</v>
      </c>
    </row>
    <row r="710" spans="1:19" x14ac:dyDescent="0.3">
      <c r="A710" s="1">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1">
        <v>45056</v>
      </c>
      <c r="R710" s="1">
        <v>45059</v>
      </c>
      <c r="S710" t="s">
        <v>2922</v>
      </c>
    </row>
    <row r="711" spans="1:19" x14ac:dyDescent="0.3">
      <c r="A711" s="1">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1">
        <v>45136</v>
      </c>
      <c r="R711" s="1">
        <v>45145</v>
      </c>
      <c r="S711" t="s">
        <v>2922</v>
      </c>
    </row>
    <row r="712" spans="1:19" x14ac:dyDescent="0.3">
      <c r="A712" s="1">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1">
        <v>45164</v>
      </c>
      <c r="R712" s="1">
        <v>45167</v>
      </c>
      <c r="S712" t="s">
        <v>2925</v>
      </c>
    </row>
    <row r="713" spans="1:19" x14ac:dyDescent="0.3">
      <c r="A713" s="1">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1">
        <v>45288</v>
      </c>
      <c r="R713" s="1">
        <v>45294</v>
      </c>
      <c r="S713" t="s">
        <v>2922</v>
      </c>
    </row>
    <row r="714" spans="1:19" x14ac:dyDescent="0.3">
      <c r="A714" s="1">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1">
        <v>45726</v>
      </c>
      <c r="R714" s="1">
        <v>45733</v>
      </c>
      <c r="S714" t="s">
        <v>2924</v>
      </c>
    </row>
    <row r="715" spans="1:19" x14ac:dyDescent="0.3">
      <c r="A715" s="1">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1">
        <v>45178</v>
      </c>
      <c r="R715" s="1">
        <v>45183</v>
      </c>
      <c r="S715" t="s">
        <v>2925</v>
      </c>
    </row>
    <row r="716" spans="1:19" x14ac:dyDescent="0.3">
      <c r="A716" s="1">
        <v>45074</v>
      </c>
      <c r="B716" t="s">
        <v>21</v>
      </c>
      <c r="C716" t="s">
        <v>29</v>
      </c>
      <c r="D716">
        <v>2</v>
      </c>
      <c r="E716">
        <v>294.27</v>
      </c>
      <c r="F716" t="s">
        <v>33</v>
      </c>
      <c r="G716" t="s">
        <v>36</v>
      </c>
      <c r="H716">
        <v>0.1</v>
      </c>
      <c r="I716" t="s">
        <v>41</v>
      </c>
      <c r="J716">
        <v>529.68600000000004</v>
      </c>
      <c r="K716" t="s">
        <v>44</v>
      </c>
      <c r="L716" t="s">
        <v>2927</v>
      </c>
      <c r="M716">
        <v>0</v>
      </c>
      <c r="N716" t="s">
        <v>765</v>
      </c>
      <c r="O716" t="s">
        <v>2236</v>
      </c>
      <c r="P716">
        <v>9.0500000000000007</v>
      </c>
      <c r="Q716" s="1">
        <v>45074</v>
      </c>
      <c r="R716" s="1">
        <v>45078</v>
      </c>
      <c r="S716" t="s">
        <v>2924</v>
      </c>
    </row>
    <row r="717" spans="1:19" x14ac:dyDescent="0.3">
      <c r="A717" s="1">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1">
        <v>45798</v>
      </c>
      <c r="R717" s="1">
        <v>45808</v>
      </c>
      <c r="S717" t="s">
        <v>2926</v>
      </c>
    </row>
    <row r="718" spans="1:19" x14ac:dyDescent="0.3">
      <c r="A718" s="1">
        <v>45199</v>
      </c>
      <c r="B718" t="s">
        <v>19</v>
      </c>
      <c r="C718" t="s">
        <v>24</v>
      </c>
      <c r="D718">
        <v>14</v>
      </c>
      <c r="E718">
        <v>243.96</v>
      </c>
      <c r="F718" t="s">
        <v>34</v>
      </c>
      <c r="G718" t="s">
        <v>35</v>
      </c>
      <c r="H718">
        <v>0.05</v>
      </c>
      <c r="I718" t="s">
        <v>41</v>
      </c>
      <c r="J718">
        <v>3244.6680000000001</v>
      </c>
      <c r="K718" t="s">
        <v>43</v>
      </c>
      <c r="L718" t="s">
        <v>2927</v>
      </c>
      <c r="M718">
        <v>1</v>
      </c>
      <c r="N718" t="s">
        <v>767</v>
      </c>
      <c r="O718" t="s">
        <v>2238</v>
      </c>
      <c r="P718">
        <v>13.24</v>
      </c>
      <c r="Q718" s="1">
        <v>45199</v>
      </c>
      <c r="R718" s="1">
        <v>45203</v>
      </c>
      <c r="S718" t="s">
        <v>2922</v>
      </c>
    </row>
    <row r="719" spans="1:19" x14ac:dyDescent="0.3">
      <c r="A719" s="1">
        <v>45573</v>
      </c>
      <c r="B719" t="s">
        <v>20</v>
      </c>
      <c r="C719" t="s">
        <v>24</v>
      </c>
      <c r="D719">
        <v>6</v>
      </c>
      <c r="E719">
        <v>48.48</v>
      </c>
      <c r="F719" t="s">
        <v>34</v>
      </c>
      <c r="G719" t="s">
        <v>36</v>
      </c>
      <c r="H719">
        <v>0.1</v>
      </c>
      <c r="I719" t="s">
        <v>41</v>
      </c>
      <c r="J719">
        <v>261.79199999999997</v>
      </c>
      <c r="K719" t="s">
        <v>43</v>
      </c>
      <c r="L719" t="s">
        <v>2927</v>
      </c>
      <c r="M719">
        <v>0</v>
      </c>
      <c r="N719" t="s">
        <v>768</v>
      </c>
      <c r="O719" t="s">
        <v>2239</v>
      </c>
      <c r="P719">
        <v>6.11</v>
      </c>
      <c r="Q719" s="1">
        <v>45573</v>
      </c>
      <c r="R719" s="1">
        <v>45578</v>
      </c>
      <c r="S719" t="s">
        <v>2923</v>
      </c>
    </row>
    <row r="720" spans="1:19" x14ac:dyDescent="0.3">
      <c r="A720" s="1">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1">
        <v>45030</v>
      </c>
      <c r="R720" s="1">
        <v>45039</v>
      </c>
      <c r="S720" t="s">
        <v>2922</v>
      </c>
    </row>
    <row r="721" spans="1:19" x14ac:dyDescent="0.3">
      <c r="A721" s="1">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1">
        <v>44990</v>
      </c>
      <c r="R721" s="1">
        <v>44995</v>
      </c>
      <c r="S721" t="s">
        <v>2923</v>
      </c>
    </row>
    <row r="722" spans="1:19" x14ac:dyDescent="0.3">
      <c r="A722" s="1">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1">
        <v>45490</v>
      </c>
      <c r="R722" s="1">
        <v>45493</v>
      </c>
      <c r="S722" t="s">
        <v>2924</v>
      </c>
    </row>
    <row r="723" spans="1:19" x14ac:dyDescent="0.3">
      <c r="A723" s="1">
        <v>45432</v>
      </c>
      <c r="B723" t="s">
        <v>21</v>
      </c>
      <c r="C723" t="s">
        <v>29</v>
      </c>
      <c r="D723">
        <v>16</v>
      </c>
      <c r="E723">
        <v>427.68</v>
      </c>
      <c r="F723" t="s">
        <v>32</v>
      </c>
      <c r="G723" t="s">
        <v>36</v>
      </c>
      <c r="H723">
        <v>0.1</v>
      </c>
      <c r="I723" t="s">
        <v>40</v>
      </c>
      <c r="J723">
        <v>6158.5920000000006</v>
      </c>
      <c r="K723" t="s">
        <v>46</v>
      </c>
      <c r="L723" t="s">
        <v>2927</v>
      </c>
      <c r="M723">
        <v>0</v>
      </c>
      <c r="N723" t="s">
        <v>772</v>
      </c>
      <c r="O723" t="s">
        <v>2243</v>
      </c>
      <c r="P723">
        <v>18.72</v>
      </c>
      <c r="Q723" s="1">
        <v>45432</v>
      </c>
      <c r="R723" s="1">
        <v>45441</v>
      </c>
      <c r="S723" t="s">
        <v>2924</v>
      </c>
    </row>
    <row r="724" spans="1:19" x14ac:dyDescent="0.3">
      <c r="A724" s="1">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1">
        <v>45783</v>
      </c>
      <c r="R724" s="1">
        <v>45787</v>
      </c>
      <c r="S724" t="s">
        <v>2924</v>
      </c>
    </row>
    <row r="725" spans="1:19" x14ac:dyDescent="0.3">
      <c r="A725" s="1">
        <v>44941</v>
      </c>
      <c r="B725" t="s">
        <v>21</v>
      </c>
      <c r="C725" t="s">
        <v>26</v>
      </c>
      <c r="D725">
        <v>15</v>
      </c>
      <c r="E725">
        <v>185</v>
      </c>
      <c r="F725" t="s">
        <v>31</v>
      </c>
      <c r="G725" t="s">
        <v>35</v>
      </c>
      <c r="H725">
        <v>0</v>
      </c>
      <c r="I725" t="s">
        <v>38</v>
      </c>
      <c r="J725">
        <v>2775</v>
      </c>
      <c r="K725" t="s">
        <v>47</v>
      </c>
      <c r="L725" t="s">
        <v>48</v>
      </c>
      <c r="M725">
        <v>0</v>
      </c>
      <c r="N725" t="s">
        <v>774</v>
      </c>
      <c r="O725" t="s">
        <v>2245</v>
      </c>
      <c r="P725">
        <v>29.31</v>
      </c>
      <c r="Q725" s="1">
        <v>44941</v>
      </c>
      <c r="R725" s="1">
        <v>44943</v>
      </c>
      <c r="S725" t="s">
        <v>2924</v>
      </c>
    </row>
    <row r="726" spans="1:19" x14ac:dyDescent="0.3">
      <c r="A726" s="1">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1">
        <v>45300</v>
      </c>
      <c r="R726" s="1">
        <v>45303</v>
      </c>
      <c r="S726" t="s">
        <v>2925</v>
      </c>
    </row>
    <row r="727" spans="1:19" x14ac:dyDescent="0.3">
      <c r="A727" s="1">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1">
        <v>45119</v>
      </c>
      <c r="R727" s="1">
        <v>45128</v>
      </c>
      <c r="S727" t="s">
        <v>2923</v>
      </c>
    </row>
    <row r="728" spans="1:19" x14ac:dyDescent="0.3">
      <c r="A728" s="1">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1">
        <v>45829</v>
      </c>
      <c r="R728" s="1">
        <v>45834</v>
      </c>
      <c r="S728" t="s">
        <v>2922</v>
      </c>
    </row>
    <row r="729" spans="1:19" x14ac:dyDescent="0.3">
      <c r="A729" s="1">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1">
        <v>45655</v>
      </c>
      <c r="R729" s="1">
        <v>45659</v>
      </c>
      <c r="S729" t="s">
        <v>2924</v>
      </c>
    </row>
    <row r="730" spans="1:19" x14ac:dyDescent="0.3">
      <c r="A730" s="1">
        <v>45069</v>
      </c>
      <c r="B730" t="s">
        <v>23</v>
      </c>
      <c r="C730" t="s">
        <v>29</v>
      </c>
      <c r="D730">
        <v>9</v>
      </c>
      <c r="E730">
        <v>438.22</v>
      </c>
      <c r="F730" t="s">
        <v>34</v>
      </c>
      <c r="G730" t="s">
        <v>36</v>
      </c>
      <c r="H730">
        <v>0.05</v>
      </c>
      <c r="I730" t="s">
        <v>42</v>
      </c>
      <c r="J730">
        <v>3746.7809999999999</v>
      </c>
      <c r="K730" t="s">
        <v>47</v>
      </c>
      <c r="L730" t="s">
        <v>2927</v>
      </c>
      <c r="M730">
        <v>0</v>
      </c>
      <c r="N730" t="s">
        <v>779</v>
      </c>
      <c r="O730" t="s">
        <v>2250</v>
      </c>
      <c r="P730">
        <v>22.73</v>
      </c>
      <c r="Q730" s="1">
        <v>45069</v>
      </c>
      <c r="R730" s="1">
        <v>45075</v>
      </c>
      <c r="S730" t="s">
        <v>2926</v>
      </c>
    </row>
    <row r="731" spans="1:19" x14ac:dyDescent="0.3">
      <c r="A731" s="1">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1">
        <v>45385</v>
      </c>
      <c r="R731" s="1">
        <v>45391</v>
      </c>
      <c r="S731" t="s">
        <v>2925</v>
      </c>
    </row>
    <row r="732" spans="1:19" x14ac:dyDescent="0.3">
      <c r="A732" s="1">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1">
        <v>45308</v>
      </c>
      <c r="R732" s="1">
        <v>45318</v>
      </c>
      <c r="S732" t="s">
        <v>2922</v>
      </c>
    </row>
    <row r="733" spans="1:19" x14ac:dyDescent="0.3">
      <c r="A733" s="1">
        <v>45752</v>
      </c>
      <c r="B733" t="s">
        <v>22</v>
      </c>
      <c r="C733" t="s">
        <v>28</v>
      </c>
      <c r="D733">
        <v>2</v>
      </c>
      <c r="E733">
        <v>231.96</v>
      </c>
      <c r="F733" t="s">
        <v>31</v>
      </c>
      <c r="G733" t="s">
        <v>36</v>
      </c>
      <c r="H733">
        <v>0.1</v>
      </c>
      <c r="I733" t="s">
        <v>38</v>
      </c>
      <c r="J733">
        <v>417.52800000000002</v>
      </c>
      <c r="K733" t="s">
        <v>46</v>
      </c>
      <c r="L733" t="s">
        <v>2927</v>
      </c>
      <c r="M733">
        <v>1</v>
      </c>
      <c r="N733" t="s">
        <v>782</v>
      </c>
      <c r="O733" t="s">
        <v>2253</v>
      </c>
      <c r="P733">
        <v>32.659999999999997</v>
      </c>
      <c r="Q733" s="1">
        <v>45752</v>
      </c>
      <c r="R733" s="1">
        <v>45761</v>
      </c>
      <c r="S733" t="s">
        <v>2925</v>
      </c>
    </row>
    <row r="734" spans="1:19" x14ac:dyDescent="0.3">
      <c r="A734" s="1">
        <v>45764</v>
      </c>
      <c r="B734" t="s">
        <v>22</v>
      </c>
      <c r="C734" t="s">
        <v>27</v>
      </c>
      <c r="D734">
        <v>15</v>
      </c>
      <c r="E734">
        <v>242.07</v>
      </c>
      <c r="F734" t="s">
        <v>32</v>
      </c>
      <c r="G734" t="s">
        <v>35</v>
      </c>
      <c r="H734">
        <v>0.15</v>
      </c>
      <c r="I734" t="s">
        <v>42</v>
      </c>
      <c r="J734">
        <v>3086.392499999999</v>
      </c>
      <c r="K734" t="s">
        <v>45</v>
      </c>
      <c r="L734" t="s">
        <v>2927</v>
      </c>
      <c r="M734">
        <v>0</v>
      </c>
      <c r="N734" t="s">
        <v>783</v>
      </c>
      <c r="O734" t="s">
        <v>2254</v>
      </c>
      <c r="P734">
        <v>19.18</v>
      </c>
      <c r="Q734" s="1">
        <v>45764</v>
      </c>
      <c r="R734" s="1">
        <v>45770</v>
      </c>
      <c r="S734" t="s">
        <v>2925</v>
      </c>
    </row>
    <row r="735" spans="1:19" x14ac:dyDescent="0.3">
      <c r="A735" s="1">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1">
        <v>45577</v>
      </c>
      <c r="R735" s="1">
        <v>45580</v>
      </c>
      <c r="S735" t="s">
        <v>2925</v>
      </c>
    </row>
    <row r="736" spans="1:19" x14ac:dyDescent="0.3">
      <c r="A736" s="1">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1">
        <v>45500</v>
      </c>
      <c r="R736" s="1">
        <v>45505</v>
      </c>
      <c r="S736" t="s">
        <v>2925</v>
      </c>
    </row>
    <row r="737" spans="1:19" x14ac:dyDescent="0.3">
      <c r="A737" s="1">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1">
        <v>45667</v>
      </c>
      <c r="R737" s="1">
        <v>45675</v>
      </c>
      <c r="S737" t="s">
        <v>2926</v>
      </c>
    </row>
    <row r="738" spans="1:19" x14ac:dyDescent="0.3">
      <c r="A738" s="1">
        <v>45498</v>
      </c>
      <c r="B738" t="s">
        <v>20</v>
      </c>
      <c r="C738" t="s">
        <v>27</v>
      </c>
      <c r="D738">
        <v>12</v>
      </c>
      <c r="E738">
        <v>61.85</v>
      </c>
      <c r="F738" t="s">
        <v>34</v>
      </c>
      <c r="G738" t="s">
        <v>35</v>
      </c>
      <c r="H738">
        <v>0.05</v>
      </c>
      <c r="I738" t="s">
        <v>38</v>
      </c>
      <c r="J738">
        <v>705.09</v>
      </c>
      <c r="K738" t="s">
        <v>45</v>
      </c>
      <c r="L738" t="s">
        <v>2927</v>
      </c>
      <c r="M738">
        <v>1</v>
      </c>
      <c r="N738" t="s">
        <v>787</v>
      </c>
      <c r="O738" t="s">
        <v>2258</v>
      </c>
      <c r="P738">
        <v>24.34</v>
      </c>
      <c r="Q738" s="1">
        <v>45498</v>
      </c>
      <c r="R738" s="1">
        <v>45504</v>
      </c>
      <c r="S738" t="s">
        <v>2923</v>
      </c>
    </row>
    <row r="739" spans="1:19" x14ac:dyDescent="0.3">
      <c r="A739" s="1">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1">
        <v>45434</v>
      </c>
      <c r="R739" s="1">
        <v>45437</v>
      </c>
      <c r="S739" t="s">
        <v>2926</v>
      </c>
    </row>
    <row r="740" spans="1:19" x14ac:dyDescent="0.3">
      <c r="A740" s="1">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1">
        <v>45514</v>
      </c>
      <c r="R740" s="1">
        <v>45524</v>
      </c>
      <c r="S740" t="s">
        <v>2925</v>
      </c>
    </row>
    <row r="741" spans="1:19" x14ac:dyDescent="0.3">
      <c r="A741" s="1">
        <v>45043</v>
      </c>
      <c r="B741" t="s">
        <v>23</v>
      </c>
      <c r="C741" t="s">
        <v>29</v>
      </c>
      <c r="D741">
        <v>2</v>
      </c>
      <c r="E741">
        <v>107.32</v>
      </c>
      <c r="F741" t="s">
        <v>31</v>
      </c>
      <c r="G741" t="s">
        <v>36</v>
      </c>
      <c r="H741">
        <v>0.05</v>
      </c>
      <c r="I741" t="s">
        <v>38</v>
      </c>
      <c r="J741">
        <v>203.90799999999999</v>
      </c>
      <c r="K741" t="s">
        <v>45</v>
      </c>
      <c r="L741" t="s">
        <v>2927</v>
      </c>
      <c r="M741">
        <v>0</v>
      </c>
      <c r="N741" t="s">
        <v>790</v>
      </c>
      <c r="O741" t="s">
        <v>2261</v>
      </c>
      <c r="P741">
        <v>47.33</v>
      </c>
      <c r="Q741" s="1">
        <v>45043</v>
      </c>
      <c r="R741" s="1">
        <v>45045</v>
      </c>
      <c r="S741" t="s">
        <v>2926</v>
      </c>
    </row>
    <row r="742" spans="1:19" x14ac:dyDescent="0.3">
      <c r="A742" s="1">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1">
        <v>45098</v>
      </c>
      <c r="R742" s="1">
        <v>45102</v>
      </c>
      <c r="S742" t="s">
        <v>2923</v>
      </c>
    </row>
    <row r="743" spans="1:19" x14ac:dyDescent="0.3">
      <c r="A743" s="1">
        <v>45576</v>
      </c>
      <c r="B743" t="s">
        <v>23</v>
      </c>
      <c r="C743" t="s">
        <v>30</v>
      </c>
      <c r="D743">
        <v>17</v>
      </c>
      <c r="E743">
        <v>549.78</v>
      </c>
      <c r="F743" t="s">
        <v>31</v>
      </c>
      <c r="G743" t="s">
        <v>35</v>
      </c>
      <c r="H743">
        <v>0.05</v>
      </c>
      <c r="I743" t="s">
        <v>38</v>
      </c>
      <c r="J743">
        <v>8878.9470000000001</v>
      </c>
      <c r="K743" t="s">
        <v>45</v>
      </c>
      <c r="L743" t="s">
        <v>2927</v>
      </c>
      <c r="M743">
        <v>1</v>
      </c>
      <c r="N743" t="s">
        <v>792</v>
      </c>
      <c r="O743" t="s">
        <v>2262</v>
      </c>
      <c r="P743">
        <v>44.42</v>
      </c>
      <c r="Q743" s="1">
        <v>45576</v>
      </c>
      <c r="R743" s="1">
        <v>45579</v>
      </c>
      <c r="S743" t="s">
        <v>2926</v>
      </c>
    </row>
    <row r="744" spans="1:19" x14ac:dyDescent="0.3">
      <c r="A744" s="1">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1">
        <v>45683</v>
      </c>
      <c r="R744" s="1">
        <v>45687</v>
      </c>
      <c r="S744" t="s">
        <v>2924</v>
      </c>
    </row>
    <row r="745" spans="1:19" x14ac:dyDescent="0.3">
      <c r="A745" s="1">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1">
        <v>45461</v>
      </c>
      <c r="R745" s="1">
        <v>45469</v>
      </c>
      <c r="S745" t="s">
        <v>2923</v>
      </c>
    </row>
    <row r="746" spans="1:19" x14ac:dyDescent="0.3">
      <c r="A746" s="1">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1">
        <v>45826</v>
      </c>
      <c r="R746" s="1">
        <v>45832</v>
      </c>
      <c r="S746" t="s">
        <v>2922</v>
      </c>
    </row>
    <row r="747" spans="1:19" x14ac:dyDescent="0.3">
      <c r="A747" s="1">
        <v>45594</v>
      </c>
      <c r="B747" t="s">
        <v>20</v>
      </c>
      <c r="C747" t="s">
        <v>24</v>
      </c>
      <c r="D747">
        <v>2</v>
      </c>
      <c r="E747">
        <v>267.36</v>
      </c>
      <c r="F747" t="s">
        <v>31</v>
      </c>
      <c r="G747" t="s">
        <v>35</v>
      </c>
      <c r="H747">
        <v>0.05</v>
      </c>
      <c r="I747" t="s">
        <v>39</v>
      </c>
      <c r="J747">
        <v>507.98399999999998</v>
      </c>
      <c r="K747" t="s">
        <v>43</v>
      </c>
      <c r="L747" t="s">
        <v>2927</v>
      </c>
      <c r="M747">
        <v>0</v>
      </c>
      <c r="N747" t="s">
        <v>796</v>
      </c>
      <c r="O747" t="s">
        <v>2266</v>
      </c>
      <c r="P747">
        <v>21.36</v>
      </c>
      <c r="Q747" s="1">
        <v>45594</v>
      </c>
      <c r="R747" s="1">
        <v>45603</v>
      </c>
      <c r="S747" t="s">
        <v>2923</v>
      </c>
    </row>
    <row r="748" spans="1:19" x14ac:dyDescent="0.3">
      <c r="A748" s="1">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1">
        <v>45755</v>
      </c>
      <c r="R748" s="1">
        <v>45761</v>
      </c>
      <c r="S748" t="s">
        <v>2925</v>
      </c>
    </row>
    <row r="749" spans="1:19" x14ac:dyDescent="0.3">
      <c r="A749" s="1">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1">
        <v>44957</v>
      </c>
      <c r="R749" s="1">
        <v>44962</v>
      </c>
      <c r="S749" t="s">
        <v>2925</v>
      </c>
    </row>
    <row r="750" spans="1:19" x14ac:dyDescent="0.3">
      <c r="A750" s="1">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1">
        <v>45366</v>
      </c>
      <c r="R750" s="1">
        <v>45371</v>
      </c>
      <c r="S750" t="s">
        <v>2926</v>
      </c>
    </row>
    <row r="751" spans="1:19" x14ac:dyDescent="0.3">
      <c r="A751" s="1">
        <v>45100</v>
      </c>
      <c r="B751" t="s">
        <v>21</v>
      </c>
      <c r="C751" t="s">
        <v>29</v>
      </c>
      <c r="D751">
        <v>16</v>
      </c>
      <c r="E751">
        <v>294.88</v>
      </c>
      <c r="F751" t="s">
        <v>31</v>
      </c>
      <c r="G751" t="s">
        <v>36</v>
      </c>
      <c r="H751">
        <v>0.05</v>
      </c>
      <c r="I751" t="s">
        <v>39</v>
      </c>
      <c r="J751">
        <v>4482.1759999999986</v>
      </c>
      <c r="K751" t="s">
        <v>47</v>
      </c>
      <c r="L751" t="s">
        <v>2927</v>
      </c>
      <c r="M751">
        <v>1</v>
      </c>
      <c r="N751" t="s">
        <v>800</v>
      </c>
      <c r="O751" t="s">
        <v>2089</v>
      </c>
      <c r="P751">
        <v>17.190000000000001</v>
      </c>
      <c r="Q751" s="1">
        <v>45100</v>
      </c>
      <c r="R751" s="1">
        <v>45104</v>
      </c>
      <c r="S751" t="s">
        <v>2924</v>
      </c>
    </row>
    <row r="752" spans="1:19" x14ac:dyDescent="0.3">
      <c r="A752" s="1">
        <v>45457</v>
      </c>
      <c r="B752" t="s">
        <v>21</v>
      </c>
      <c r="C752" t="s">
        <v>28</v>
      </c>
      <c r="D752">
        <v>19</v>
      </c>
      <c r="E752">
        <v>596.03</v>
      </c>
      <c r="F752" t="s">
        <v>33</v>
      </c>
      <c r="G752" t="s">
        <v>36</v>
      </c>
      <c r="H752">
        <v>0.15</v>
      </c>
      <c r="I752" t="s">
        <v>37</v>
      </c>
      <c r="J752">
        <v>9625.8845000000001</v>
      </c>
      <c r="K752" t="s">
        <v>46</v>
      </c>
      <c r="L752" t="s">
        <v>2927</v>
      </c>
      <c r="M752">
        <v>0</v>
      </c>
      <c r="N752" t="s">
        <v>801</v>
      </c>
      <c r="O752" t="s">
        <v>2270</v>
      </c>
      <c r="P752">
        <v>31.95</v>
      </c>
      <c r="Q752" s="1">
        <v>45457</v>
      </c>
      <c r="R752" s="1">
        <v>45466</v>
      </c>
      <c r="S752" t="s">
        <v>2924</v>
      </c>
    </row>
    <row r="753" spans="1:19" x14ac:dyDescent="0.3">
      <c r="A753" s="1">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1">
        <v>45260</v>
      </c>
      <c r="R753" s="1">
        <v>45269</v>
      </c>
      <c r="S753" t="s">
        <v>2926</v>
      </c>
    </row>
    <row r="754" spans="1:19" x14ac:dyDescent="0.3">
      <c r="A754" s="1">
        <v>45403</v>
      </c>
      <c r="B754" t="s">
        <v>21</v>
      </c>
      <c r="C754" t="s">
        <v>24</v>
      </c>
      <c r="D754">
        <v>10</v>
      </c>
      <c r="E754">
        <v>400.95</v>
      </c>
      <c r="F754" t="s">
        <v>33</v>
      </c>
      <c r="G754" t="s">
        <v>36</v>
      </c>
      <c r="H754">
        <v>0.05</v>
      </c>
      <c r="I754" t="s">
        <v>40</v>
      </c>
      <c r="J754">
        <v>3809.0250000000001</v>
      </c>
      <c r="K754" t="s">
        <v>43</v>
      </c>
      <c r="L754" t="s">
        <v>2927</v>
      </c>
      <c r="M754">
        <v>0</v>
      </c>
      <c r="N754" t="s">
        <v>803</v>
      </c>
      <c r="O754" t="s">
        <v>2272</v>
      </c>
      <c r="P754">
        <v>17.46</v>
      </c>
      <c r="Q754" s="1">
        <v>45403</v>
      </c>
      <c r="R754" s="1">
        <v>45412</v>
      </c>
      <c r="S754" t="s">
        <v>2924</v>
      </c>
    </row>
    <row r="755" spans="1:19" x14ac:dyDescent="0.3">
      <c r="A755" s="1">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1">
        <v>45144</v>
      </c>
      <c r="R755" s="1">
        <v>45150</v>
      </c>
      <c r="S755" t="s">
        <v>2922</v>
      </c>
    </row>
    <row r="756" spans="1:19" x14ac:dyDescent="0.3">
      <c r="A756" s="1">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1">
        <v>45464</v>
      </c>
      <c r="R756" s="1">
        <v>45470</v>
      </c>
      <c r="S756" t="s">
        <v>2926</v>
      </c>
    </row>
    <row r="757" spans="1:19" x14ac:dyDescent="0.3">
      <c r="A757" s="1">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1">
        <v>45732</v>
      </c>
      <c r="R757" s="1">
        <v>45740</v>
      </c>
      <c r="S757" t="s">
        <v>2924</v>
      </c>
    </row>
    <row r="758" spans="1:19" x14ac:dyDescent="0.3">
      <c r="A758" s="1">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1">
        <v>45402</v>
      </c>
      <c r="R758" s="1">
        <v>45407</v>
      </c>
      <c r="S758" t="s">
        <v>2926</v>
      </c>
    </row>
    <row r="759" spans="1:19" x14ac:dyDescent="0.3">
      <c r="A759" s="1">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1">
        <v>45646</v>
      </c>
      <c r="R759" s="1">
        <v>45655</v>
      </c>
      <c r="S759" t="s">
        <v>2922</v>
      </c>
    </row>
    <row r="760" spans="1:19" x14ac:dyDescent="0.3">
      <c r="A760" s="1">
        <v>45160</v>
      </c>
      <c r="B760" t="s">
        <v>21</v>
      </c>
      <c r="C760" t="s">
        <v>30</v>
      </c>
      <c r="D760">
        <v>8</v>
      </c>
      <c r="E760">
        <v>343.53</v>
      </c>
      <c r="F760" t="s">
        <v>32</v>
      </c>
      <c r="G760" t="s">
        <v>35</v>
      </c>
      <c r="H760">
        <v>0</v>
      </c>
      <c r="I760" t="s">
        <v>39</v>
      </c>
      <c r="J760">
        <v>2748.24</v>
      </c>
      <c r="K760" t="s">
        <v>47</v>
      </c>
      <c r="L760" t="s">
        <v>2927</v>
      </c>
      <c r="M760">
        <v>0</v>
      </c>
      <c r="N760" t="s">
        <v>809</v>
      </c>
      <c r="O760" t="s">
        <v>2278</v>
      </c>
      <c r="P760">
        <v>16.100000000000001</v>
      </c>
      <c r="Q760" s="1">
        <v>45160</v>
      </c>
      <c r="R760" s="1">
        <v>45170</v>
      </c>
      <c r="S760" t="s">
        <v>2924</v>
      </c>
    </row>
    <row r="761" spans="1:19" x14ac:dyDescent="0.3">
      <c r="A761" s="1">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1">
        <v>44989</v>
      </c>
      <c r="R761" s="1">
        <v>44998</v>
      </c>
      <c r="S761" t="s">
        <v>2924</v>
      </c>
    </row>
    <row r="762" spans="1:19" x14ac:dyDescent="0.3">
      <c r="A762" s="1">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1">
        <v>45467</v>
      </c>
      <c r="R762" s="1">
        <v>45474</v>
      </c>
      <c r="S762" t="s">
        <v>2924</v>
      </c>
    </row>
    <row r="763" spans="1:19" x14ac:dyDescent="0.3">
      <c r="A763" s="1">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1">
        <v>45635</v>
      </c>
      <c r="R763" s="1">
        <v>45639</v>
      </c>
      <c r="S763" t="s">
        <v>2922</v>
      </c>
    </row>
    <row r="764" spans="1:19" x14ac:dyDescent="0.3">
      <c r="A764" s="1">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1">
        <v>45477</v>
      </c>
      <c r="R764" s="1">
        <v>45480</v>
      </c>
      <c r="S764" t="s">
        <v>2926</v>
      </c>
    </row>
    <row r="765" spans="1:19" x14ac:dyDescent="0.3">
      <c r="A765" s="1">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1">
        <v>45720</v>
      </c>
      <c r="R765" s="1">
        <v>45722</v>
      </c>
      <c r="S765" t="s">
        <v>2922</v>
      </c>
    </row>
    <row r="766" spans="1:19" x14ac:dyDescent="0.3">
      <c r="A766" s="1">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1">
        <v>45313</v>
      </c>
      <c r="R766" s="1">
        <v>45320</v>
      </c>
      <c r="S766" t="s">
        <v>2922</v>
      </c>
    </row>
    <row r="767" spans="1:19" x14ac:dyDescent="0.3">
      <c r="A767" s="1">
        <v>45728</v>
      </c>
      <c r="B767" t="s">
        <v>19</v>
      </c>
      <c r="C767" t="s">
        <v>26</v>
      </c>
      <c r="D767">
        <v>14</v>
      </c>
      <c r="E767">
        <v>554.08000000000004</v>
      </c>
      <c r="F767" t="s">
        <v>32</v>
      </c>
      <c r="G767" t="s">
        <v>36</v>
      </c>
      <c r="H767">
        <v>0.05</v>
      </c>
      <c r="I767" t="s">
        <v>41</v>
      </c>
      <c r="J767">
        <v>7369.2640000000001</v>
      </c>
      <c r="K767" t="s">
        <v>47</v>
      </c>
      <c r="L767" t="s">
        <v>2927</v>
      </c>
      <c r="M767">
        <v>0</v>
      </c>
      <c r="N767" t="s">
        <v>816</v>
      </c>
      <c r="O767" t="s">
        <v>2284</v>
      </c>
      <c r="P767">
        <v>36.72</v>
      </c>
      <c r="Q767" s="1">
        <v>45728</v>
      </c>
      <c r="R767" s="1">
        <v>45737</v>
      </c>
      <c r="S767" t="s">
        <v>2922</v>
      </c>
    </row>
    <row r="768" spans="1:19" x14ac:dyDescent="0.3">
      <c r="A768" s="1">
        <v>45716</v>
      </c>
      <c r="B768" t="s">
        <v>22</v>
      </c>
      <c r="C768" t="s">
        <v>25</v>
      </c>
      <c r="D768">
        <v>15</v>
      </c>
      <c r="E768">
        <v>23.32</v>
      </c>
      <c r="F768" t="s">
        <v>32</v>
      </c>
      <c r="G768" t="s">
        <v>36</v>
      </c>
      <c r="H768">
        <v>0.05</v>
      </c>
      <c r="I768" t="s">
        <v>40</v>
      </c>
      <c r="J768">
        <v>332.31</v>
      </c>
      <c r="K768" t="s">
        <v>46</v>
      </c>
      <c r="L768" t="s">
        <v>2927</v>
      </c>
      <c r="M768">
        <v>0</v>
      </c>
      <c r="N768" t="s">
        <v>817</v>
      </c>
      <c r="O768" t="s">
        <v>2285</v>
      </c>
      <c r="P768">
        <v>25.27</v>
      </c>
      <c r="Q768" s="1">
        <v>45716</v>
      </c>
      <c r="R768" s="1">
        <v>45719</v>
      </c>
      <c r="S768" t="s">
        <v>2925</v>
      </c>
    </row>
    <row r="769" spans="1:19" x14ac:dyDescent="0.3">
      <c r="A769" s="1">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1">
        <v>45435</v>
      </c>
      <c r="R769" s="1">
        <v>45443</v>
      </c>
      <c r="S769" t="s">
        <v>2922</v>
      </c>
    </row>
    <row r="770" spans="1:19" x14ac:dyDescent="0.3">
      <c r="A770" s="1">
        <v>45186</v>
      </c>
      <c r="B770" t="s">
        <v>21</v>
      </c>
      <c r="C770" t="s">
        <v>26</v>
      </c>
      <c r="D770">
        <v>18</v>
      </c>
      <c r="E770">
        <v>132.29</v>
      </c>
      <c r="F770" t="s">
        <v>32</v>
      </c>
      <c r="G770" t="s">
        <v>35</v>
      </c>
      <c r="H770">
        <v>0.05</v>
      </c>
      <c r="I770" t="s">
        <v>41</v>
      </c>
      <c r="J770">
        <v>2262.1590000000001</v>
      </c>
      <c r="K770" t="s">
        <v>45</v>
      </c>
      <c r="L770" t="s">
        <v>2927</v>
      </c>
      <c r="M770">
        <v>1</v>
      </c>
      <c r="N770" t="s">
        <v>819</v>
      </c>
      <c r="O770" t="s">
        <v>2287</v>
      </c>
      <c r="P770">
        <v>24.3</v>
      </c>
      <c r="Q770" s="1">
        <v>45186</v>
      </c>
      <c r="R770" s="1">
        <v>45189</v>
      </c>
      <c r="S770" t="s">
        <v>2924</v>
      </c>
    </row>
    <row r="771" spans="1:19" x14ac:dyDescent="0.3">
      <c r="A771" s="1">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1">
        <v>45090</v>
      </c>
      <c r="R771" s="1">
        <v>45095</v>
      </c>
      <c r="S771" t="s">
        <v>2922</v>
      </c>
    </row>
    <row r="772" spans="1:19" x14ac:dyDescent="0.3">
      <c r="A772" s="1">
        <v>45808</v>
      </c>
      <c r="B772" t="s">
        <v>23</v>
      </c>
      <c r="C772" t="s">
        <v>25</v>
      </c>
      <c r="D772">
        <v>16</v>
      </c>
      <c r="E772">
        <v>307</v>
      </c>
      <c r="F772" t="s">
        <v>32</v>
      </c>
      <c r="G772" t="s">
        <v>35</v>
      </c>
      <c r="H772">
        <v>0</v>
      </c>
      <c r="I772" t="s">
        <v>42</v>
      </c>
      <c r="J772">
        <v>4912</v>
      </c>
      <c r="K772" t="s">
        <v>46</v>
      </c>
      <c r="L772" t="s">
        <v>48</v>
      </c>
      <c r="M772">
        <v>0</v>
      </c>
      <c r="N772" t="s">
        <v>821</v>
      </c>
      <c r="O772" t="s">
        <v>2289</v>
      </c>
      <c r="P772">
        <v>11.99</v>
      </c>
      <c r="Q772" s="1">
        <v>45808</v>
      </c>
      <c r="R772" s="1">
        <v>45810</v>
      </c>
      <c r="S772" t="s">
        <v>2926</v>
      </c>
    </row>
    <row r="773" spans="1:19" x14ac:dyDescent="0.3">
      <c r="A773" s="1">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1">
        <v>45210</v>
      </c>
      <c r="R773" s="1">
        <v>45213</v>
      </c>
      <c r="S773" t="s">
        <v>2922</v>
      </c>
    </row>
    <row r="774" spans="1:19" x14ac:dyDescent="0.3">
      <c r="A774" s="1">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1">
        <v>45145</v>
      </c>
      <c r="R774" s="1">
        <v>45152</v>
      </c>
      <c r="S774" t="s">
        <v>2926</v>
      </c>
    </row>
    <row r="775" spans="1:19" x14ac:dyDescent="0.3">
      <c r="A775" s="1">
        <v>45263</v>
      </c>
      <c r="B775" t="s">
        <v>21</v>
      </c>
      <c r="C775" t="s">
        <v>24</v>
      </c>
      <c r="D775">
        <v>17</v>
      </c>
      <c r="E775">
        <v>376.98</v>
      </c>
      <c r="F775" t="s">
        <v>32</v>
      </c>
      <c r="G775" t="s">
        <v>36</v>
      </c>
      <c r="H775">
        <v>0.05</v>
      </c>
      <c r="I775" t="s">
        <v>40</v>
      </c>
      <c r="J775">
        <v>6088.2269999999999</v>
      </c>
      <c r="K775" t="s">
        <v>46</v>
      </c>
      <c r="L775" t="s">
        <v>2927</v>
      </c>
      <c r="M775">
        <v>1</v>
      </c>
      <c r="N775" t="s">
        <v>824</v>
      </c>
      <c r="O775" t="s">
        <v>2292</v>
      </c>
      <c r="P775">
        <v>38.479999999999997</v>
      </c>
      <c r="Q775" s="1">
        <v>45263</v>
      </c>
      <c r="R775" s="1">
        <v>45265</v>
      </c>
      <c r="S775" t="s">
        <v>2924</v>
      </c>
    </row>
    <row r="776" spans="1:19" x14ac:dyDescent="0.3">
      <c r="A776" s="1">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1">
        <v>45505</v>
      </c>
      <c r="R776" s="1">
        <v>45508</v>
      </c>
      <c r="S776" t="s">
        <v>2925</v>
      </c>
    </row>
    <row r="777" spans="1:19" x14ac:dyDescent="0.3">
      <c r="A777" s="1">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1">
        <v>45005</v>
      </c>
      <c r="R777" s="1">
        <v>45012</v>
      </c>
      <c r="S777" t="s">
        <v>2922</v>
      </c>
    </row>
    <row r="778" spans="1:19" x14ac:dyDescent="0.3">
      <c r="A778" s="1">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1">
        <v>45838</v>
      </c>
      <c r="R778" s="1">
        <v>45842</v>
      </c>
      <c r="S778" t="s">
        <v>2925</v>
      </c>
    </row>
    <row r="779" spans="1:19" x14ac:dyDescent="0.3">
      <c r="A779" s="1">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1">
        <v>45693</v>
      </c>
      <c r="R779" s="1">
        <v>45695</v>
      </c>
      <c r="S779" t="s">
        <v>2923</v>
      </c>
    </row>
    <row r="780" spans="1:19" x14ac:dyDescent="0.3">
      <c r="A780" s="1">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1">
        <v>45431</v>
      </c>
      <c r="R780" s="1">
        <v>45441</v>
      </c>
      <c r="S780" t="s">
        <v>2922</v>
      </c>
    </row>
    <row r="781" spans="1:19" x14ac:dyDescent="0.3">
      <c r="A781" s="1">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1">
        <v>44989</v>
      </c>
      <c r="R781" s="1">
        <v>44997</v>
      </c>
      <c r="S781" t="s">
        <v>2924</v>
      </c>
    </row>
    <row r="782" spans="1:19" x14ac:dyDescent="0.3">
      <c r="A782" s="1">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1">
        <v>44948</v>
      </c>
      <c r="R782" s="1">
        <v>44950</v>
      </c>
      <c r="S782" t="s">
        <v>2925</v>
      </c>
    </row>
    <row r="783" spans="1:19" x14ac:dyDescent="0.3">
      <c r="A783" s="1">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1">
        <v>45005</v>
      </c>
      <c r="R783" s="1">
        <v>45010</v>
      </c>
      <c r="S783" t="s">
        <v>2923</v>
      </c>
    </row>
    <row r="784" spans="1:19" x14ac:dyDescent="0.3">
      <c r="A784" s="1">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1">
        <v>45448</v>
      </c>
      <c r="R784" s="1">
        <v>45456</v>
      </c>
      <c r="S784" t="s">
        <v>2926</v>
      </c>
    </row>
    <row r="785" spans="1:19" x14ac:dyDescent="0.3">
      <c r="A785" s="1">
        <v>45482</v>
      </c>
      <c r="B785" t="s">
        <v>19</v>
      </c>
      <c r="C785" t="s">
        <v>30</v>
      </c>
      <c r="D785">
        <v>4</v>
      </c>
      <c r="E785">
        <v>256.83</v>
      </c>
      <c r="F785" t="s">
        <v>32</v>
      </c>
      <c r="G785" t="s">
        <v>35</v>
      </c>
      <c r="H785">
        <v>0.15</v>
      </c>
      <c r="I785" t="s">
        <v>40</v>
      </c>
      <c r="J785">
        <v>873.22199999999987</v>
      </c>
      <c r="K785" t="s">
        <v>47</v>
      </c>
      <c r="L785" t="s">
        <v>2927</v>
      </c>
      <c r="M785">
        <v>1</v>
      </c>
      <c r="N785" t="s">
        <v>834</v>
      </c>
      <c r="O785" t="s">
        <v>2301</v>
      </c>
      <c r="P785">
        <v>44.72</v>
      </c>
      <c r="Q785" s="1">
        <v>45482</v>
      </c>
      <c r="R785" s="1">
        <v>45490</v>
      </c>
      <c r="S785" t="s">
        <v>2922</v>
      </c>
    </row>
    <row r="786" spans="1:19" x14ac:dyDescent="0.3">
      <c r="A786" s="1">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1">
        <v>45724</v>
      </c>
      <c r="R786" s="1">
        <v>45729</v>
      </c>
      <c r="S786" t="s">
        <v>2923</v>
      </c>
    </row>
    <row r="787" spans="1:19" x14ac:dyDescent="0.3">
      <c r="A787" s="1">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1">
        <v>45829</v>
      </c>
      <c r="R787" s="1">
        <v>45838</v>
      </c>
      <c r="S787" t="s">
        <v>2923</v>
      </c>
    </row>
    <row r="788" spans="1:19" x14ac:dyDescent="0.3">
      <c r="A788" s="1">
        <v>45836</v>
      </c>
      <c r="B788" t="s">
        <v>21</v>
      </c>
      <c r="C788" t="s">
        <v>29</v>
      </c>
      <c r="D788">
        <v>13</v>
      </c>
      <c r="E788">
        <v>341.38</v>
      </c>
      <c r="F788" t="s">
        <v>33</v>
      </c>
      <c r="G788" t="s">
        <v>36</v>
      </c>
      <c r="H788">
        <v>0.15</v>
      </c>
      <c r="I788" t="s">
        <v>38</v>
      </c>
      <c r="J788">
        <v>3772.2489999999989</v>
      </c>
      <c r="K788" t="s">
        <v>47</v>
      </c>
      <c r="L788" t="s">
        <v>2927</v>
      </c>
      <c r="M788">
        <v>0</v>
      </c>
      <c r="N788" t="s">
        <v>837</v>
      </c>
      <c r="O788" t="s">
        <v>2304</v>
      </c>
      <c r="P788">
        <v>18.2</v>
      </c>
      <c r="Q788" s="1">
        <v>45836</v>
      </c>
      <c r="R788" s="1">
        <v>45839</v>
      </c>
      <c r="S788" t="s">
        <v>2924</v>
      </c>
    </row>
    <row r="789" spans="1:19" x14ac:dyDescent="0.3">
      <c r="A789" s="1">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1">
        <v>45752</v>
      </c>
      <c r="R789" s="1">
        <v>45760</v>
      </c>
      <c r="S789" t="s">
        <v>2926</v>
      </c>
    </row>
    <row r="790" spans="1:19" x14ac:dyDescent="0.3">
      <c r="A790" s="1">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1">
        <v>45356</v>
      </c>
      <c r="R790" s="1">
        <v>45363</v>
      </c>
      <c r="S790" t="s">
        <v>2923</v>
      </c>
    </row>
    <row r="791" spans="1:19" x14ac:dyDescent="0.3">
      <c r="A791" s="1">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1">
        <v>45360</v>
      </c>
      <c r="R791" s="1">
        <v>45362</v>
      </c>
      <c r="S791" t="s">
        <v>2922</v>
      </c>
    </row>
    <row r="792" spans="1:19" x14ac:dyDescent="0.3">
      <c r="A792" s="1">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1">
        <v>45713</v>
      </c>
      <c r="R792" s="1">
        <v>45716</v>
      </c>
      <c r="S792" t="s">
        <v>2925</v>
      </c>
    </row>
    <row r="793" spans="1:19" x14ac:dyDescent="0.3">
      <c r="A793" s="1">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1">
        <v>45612</v>
      </c>
      <c r="R793" s="1">
        <v>45619</v>
      </c>
      <c r="S793" t="s">
        <v>2926</v>
      </c>
    </row>
    <row r="794" spans="1:19" x14ac:dyDescent="0.3">
      <c r="A794" s="1">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1">
        <v>45505</v>
      </c>
      <c r="R794" s="1">
        <v>45510</v>
      </c>
      <c r="S794" t="s">
        <v>2923</v>
      </c>
    </row>
    <row r="795" spans="1:19" x14ac:dyDescent="0.3">
      <c r="A795" s="1">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1">
        <v>45402</v>
      </c>
      <c r="R795" s="1">
        <v>45412</v>
      </c>
      <c r="S795" t="s">
        <v>2926</v>
      </c>
    </row>
    <row r="796" spans="1:19" x14ac:dyDescent="0.3">
      <c r="A796" s="1">
        <v>45402</v>
      </c>
      <c r="B796" t="s">
        <v>20</v>
      </c>
      <c r="C796" t="s">
        <v>24</v>
      </c>
      <c r="D796">
        <v>2</v>
      </c>
      <c r="E796">
        <v>169.62</v>
      </c>
      <c r="F796" t="s">
        <v>33</v>
      </c>
      <c r="G796" t="s">
        <v>36</v>
      </c>
      <c r="H796">
        <v>0.1</v>
      </c>
      <c r="I796" t="s">
        <v>38</v>
      </c>
      <c r="J796">
        <v>305.31599999999997</v>
      </c>
      <c r="K796" t="s">
        <v>46</v>
      </c>
      <c r="L796" t="s">
        <v>2927</v>
      </c>
      <c r="M796">
        <v>0</v>
      </c>
      <c r="N796" t="s">
        <v>845</v>
      </c>
      <c r="O796" t="s">
        <v>2311</v>
      </c>
      <c r="P796">
        <v>45.41</v>
      </c>
      <c r="Q796" s="1">
        <v>45402</v>
      </c>
      <c r="R796" s="1">
        <v>45407</v>
      </c>
      <c r="S796" t="s">
        <v>2923</v>
      </c>
    </row>
    <row r="797" spans="1:19" x14ac:dyDescent="0.3">
      <c r="A797" s="1">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1">
        <v>45191</v>
      </c>
      <c r="R797" s="1">
        <v>45197</v>
      </c>
      <c r="S797" t="s">
        <v>2924</v>
      </c>
    </row>
    <row r="798" spans="1:19" x14ac:dyDescent="0.3">
      <c r="A798" s="1">
        <v>45709</v>
      </c>
      <c r="B798" t="s">
        <v>23</v>
      </c>
      <c r="C798" t="s">
        <v>27</v>
      </c>
      <c r="D798">
        <v>3</v>
      </c>
      <c r="E798">
        <v>264.08</v>
      </c>
      <c r="F798" t="s">
        <v>32</v>
      </c>
      <c r="G798" t="s">
        <v>36</v>
      </c>
      <c r="H798">
        <v>0.1</v>
      </c>
      <c r="I798" t="s">
        <v>41</v>
      </c>
      <c r="J798">
        <v>713.01600000000008</v>
      </c>
      <c r="K798" t="s">
        <v>43</v>
      </c>
      <c r="L798" t="s">
        <v>2927</v>
      </c>
      <c r="M798">
        <v>0</v>
      </c>
      <c r="N798" t="s">
        <v>847</v>
      </c>
      <c r="O798" t="s">
        <v>2313</v>
      </c>
      <c r="P798">
        <v>25.39</v>
      </c>
      <c r="Q798" s="1">
        <v>45709</v>
      </c>
      <c r="R798" s="1">
        <v>45718</v>
      </c>
      <c r="S798" t="s">
        <v>2926</v>
      </c>
    </row>
    <row r="799" spans="1:19" x14ac:dyDescent="0.3">
      <c r="A799" s="1">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1">
        <v>45832</v>
      </c>
      <c r="R799" s="1">
        <v>45839</v>
      </c>
      <c r="S799" t="s">
        <v>2922</v>
      </c>
    </row>
    <row r="800" spans="1:19" x14ac:dyDescent="0.3">
      <c r="A800" s="1">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1">
        <v>45258</v>
      </c>
      <c r="R800" s="1">
        <v>45265</v>
      </c>
      <c r="S800" t="s">
        <v>2925</v>
      </c>
    </row>
    <row r="801" spans="1:19" x14ac:dyDescent="0.3">
      <c r="A801" s="1">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1">
        <v>45390</v>
      </c>
      <c r="R801" s="1">
        <v>45399</v>
      </c>
      <c r="S801" t="s">
        <v>2924</v>
      </c>
    </row>
    <row r="802" spans="1:19" x14ac:dyDescent="0.3">
      <c r="A802" s="1">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1">
        <v>45664</v>
      </c>
      <c r="R802" s="1">
        <v>45671</v>
      </c>
      <c r="S802" t="s">
        <v>2924</v>
      </c>
    </row>
    <row r="803" spans="1:19" x14ac:dyDescent="0.3">
      <c r="A803" s="1">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1">
        <v>44981</v>
      </c>
      <c r="R803" s="1">
        <v>44988</v>
      </c>
      <c r="S803" t="s">
        <v>2923</v>
      </c>
    </row>
    <row r="804" spans="1:19" x14ac:dyDescent="0.3">
      <c r="A804" s="1">
        <v>45218</v>
      </c>
      <c r="B804" t="s">
        <v>19</v>
      </c>
      <c r="C804" t="s">
        <v>27</v>
      </c>
      <c r="D804">
        <v>13</v>
      </c>
      <c r="E804">
        <v>393.1</v>
      </c>
      <c r="F804" t="s">
        <v>31</v>
      </c>
      <c r="G804" t="s">
        <v>35</v>
      </c>
      <c r="H804">
        <v>0.1</v>
      </c>
      <c r="I804" t="s">
        <v>38</v>
      </c>
      <c r="J804">
        <v>4599.2700000000004</v>
      </c>
      <c r="K804" t="s">
        <v>43</v>
      </c>
      <c r="L804" t="s">
        <v>2927</v>
      </c>
      <c r="M804">
        <v>0</v>
      </c>
      <c r="N804" t="s">
        <v>853</v>
      </c>
      <c r="O804" t="s">
        <v>1558</v>
      </c>
      <c r="P804">
        <v>12.64</v>
      </c>
      <c r="Q804" s="1">
        <v>45218</v>
      </c>
      <c r="R804" s="1">
        <v>45225</v>
      </c>
      <c r="S804" t="s">
        <v>2922</v>
      </c>
    </row>
    <row r="805" spans="1:19" x14ac:dyDescent="0.3">
      <c r="A805" s="1">
        <v>45460</v>
      </c>
      <c r="B805" t="s">
        <v>21</v>
      </c>
      <c r="C805" t="s">
        <v>27</v>
      </c>
      <c r="D805">
        <v>10</v>
      </c>
      <c r="E805">
        <v>83.86</v>
      </c>
      <c r="F805" t="s">
        <v>32</v>
      </c>
      <c r="G805" t="s">
        <v>35</v>
      </c>
      <c r="H805">
        <v>0.15</v>
      </c>
      <c r="I805" t="s">
        <v>38</v>
      </c>
      <c r="J805">
        <v>712.81</v>
      </c>
      <c r="K805" t="s">
        <v>45</v>
      </c>
      <c r="L805" t="s">
        <v>2927</v>
      </c>
      <c r="M805">
        <v>0</v>
      </c>
      <c r="N805" t="s">
        <v>854</v>
      </c>
      <c r="O805" t="s">
        <v>2317</v>
      </c>
      <c r="P805">
        <v>41.11</v>
      </c>
      <c r="Q805" s="1">
        <v>45460</v>
      </c>
      <c r="R805" s="1">
        <v>45464</v>
      </c>
      <c r="S805" t="s">
        <v>2924</v>
      </c>
    </row>
    <row r="806" spans="1:19" x14ac:dyDescent="0.3">
      <c r="A806" s="1">
        <v>45098</v>
      </c>
      <c r="B806" t="s">
        <v>22</v>
      </c>
      <c r="C806" t="s">
        <v>26</v>
      </c>
      <c r="D806">
        <v>10</v>
      </c>
      <c r="E806">
        <v>110.07</v>
      </c>
      <c r="F806" t="s">
        <v>31</v>
      </c>
      <c r="G806" t="s">
        <v>35</v>
      </c>
      <c r="H806">
        <v>0</v>
      </c>
      <c r="I806" t="s">
        <v>39</v>
      </c>
      <c r="J806">
        <v>1100.7</v>
      </c>
      <c r="K806" t="s">
        <v>45</v>
      </c>
      <c r="L806" t="s">
        <v>2927</v>
      </c>
      <c r="M806">
        <v>0</v>
      </c>
      <c r="N806" t="s">
        <v>855</v>
      </c>
      <c r="O806" t="s">
        <v>2318</v>
      </c>
      <c r="P806">
        <v>18.47</v>
      </c>
      <c r="Q806" s="1">
        <v>45098</v>
      </c>
      <c r="R806" s="1">
        <v>45106</v>
      </c>
      <c r="S806" t="s">
        <v>2925</v>
      </c>
    </row>
    <row r="807" spans="1:19" x14ac:dyDescent="0.3">
      <c r="A807" s="1">
        <v>45534</v>
      </c>
      <c r="B807" t="s">
        <v>19</v>
      </c>
      <c r="C807" t="s">
        <v>25</v>
      </c>
      <c r="D807">
        <v>6</v>
      </c>
      <c r="E807">
        <v>288.98</v>
      </c>
      <c r="F807" t="s">
        <v>33</v>
      </c>
      <c r="G807" t="s">
        <v>35</v>
      </c>
      <c r="H807">
        <v>0.15</v>
      </c>
      <c r="I807" t="s">
        <v>41</v>
      </c>
      <c r="J807">
        <v>1473.798</v>
      </c>
      <c r="K807" t="s">
        <v>44</v>
      </c>
      <c r="L807" t="s">
        <v>2927</v>
      </c>
      <c r="M807">
        <v>0</v>
      </c>
      <c r="N807" t="s">
        <v>856</v>
      </c>
      <c r="O807" t="s">
        <v>2319</v>
      </c>
      <c r="P807">
        <v>38.630000000000003</v>
      </c>
      <c r="Q807" s="1">
        <v>45534</v>
      </c>
      <c r="R807" s="1">
        <v>45537</v>
      </c>
      <c r="S807" t="s">
        <v>2922</v>
      </c>
    </row>
    <row r="808" spans="1:19" x14ac:dyDescent="0.3">
      <c r="A808" s="1">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1">
        <v>45660</v>
      </c>
      <c r="R808" s="1">
        <v>45670</v>
      </c>
      <c r="S808" t="s">
        <v>2925</v>
      </c>
    </row>
    <row r="809" spans="1:19" x14ac:dyDescent="0.3">
      <c r="A809" s="1">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1">
        <v>44980</v>
      </c>
      <c r="R809" s="1">
        <v>44987</v>
      </c>
      <c r="S809" t="s">
        <v>2926</v>
      </c>
    </row>
    <row r="810" spans="1:19" x14ac:dyDescent="0.3">
      <c r="A810" s="1">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1">
        <v>45773</v>
      </c>
      <c r="R810" s="1">
        <v>45776</v>
      </c>
      <c r="S810" t="s">
        <v>2925</v>
      </c>
    </row>
    <row r="811" spans="1:19" x14ac:dyDescent="0.3">
      <c r="A811" s="1">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1">
        <v>45085</v>
      </c>
      <c r="R811" s="1">
        <v>45091</v>
      </c>
      <c r="S811" t="s">
        <v>2923</v>
      </c>
    </row>
    <row r="812" spans="1:19" x14ac:dyDescent="0.3">
      <c r="A812" s="1">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1">
        <v>45001</v>
      </c>
      <c r="R812" s="1">
        <v>45010</v>
      </c>
      <c r="S812" t="s">
        <v>2924</v>
      </c>
    </row>
    <row r="813" spans="1:19" x14ac:dyDescent="0.3">
      <c r="A813" s="1">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1">
        <v>45588</v>
      </c>
      <c r="R813" s="1">
        <v>45593</v>
      </c>
      <c r="S813" t="s">
        <v>2924</v>
      </c>
    </row>
    <row r="814" spans="1:19" x14ac:dyDescent="0.3">
      <c r="A814" s="1">
        <v>45800</v>
      </c>
      <c r="B814" t="s">
        <v>19</v>
      </c>
      <c r="C814" t="s">
        <v>30</v>
      </c>
      <c r="D814">
        <v>9</v>
      </c>
      <c r="E814">
        <v>160.15</v>
      </c>
      <c r="F814" t="s">
        <v>34</v>
      </c>
      <c r="G814" t="s">
        <v>36</v>
      </c>
      <c r="H814">
        <v>0.1</v>
      </c>
      <c r="I814" t="s">
        <v>38</v>
      </c>
      <c r="J814">
        <v>1297.2149999999999</v>
      </c>
      <c r="K814" t="s">
        <v>46</v>
      </c>
      <c r="L814" t="s">
        <v>2927</v>
      </c>
      <c r="M814">
        <v>1</v>
      </c>
      <c r="N814" t="s">
        <v>863</v>
      </c>
      <c r="O814" t="s">
        <v>2325</v>
      </c>
      <c r="P814">
        <v>29.64</v>
      </c>
      <c r="Q814" s="1">
        <v>45800</v>
      </c>
      <c r="R814" s="1">
        <v>45805</v>
      </c>
      <c r="S814" t="s">
        <v>2922</v>
      </c>
    </row>
    <row r="815" spans="1:19" x14ac:dyDescent="0.3">
      <c r="A815" s="1">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1">
        <v>45052</v>
      </c>
      <c r="R815" s="1">
        <v>45060</v>
      </c>
      <c r="S815" t="s">
        <v>2922</v>
      </c>
    </row>
    <row r="816" spans="1:19" x14ac:dyDescent="0.3">
      <c r="A816" s="1">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1">
        <v>45519</v>
      </c>
      <c r="R816" s="1">
        <v>45526</v>
      </c>
      <c r="S816" t="s">
        <v>2923</v>
      </c>
    </row>
    <row r="817" spans="1:19" x14ac:dyDescent="0.3">
      <c r="A817" s="1">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1">
        <v>45161</v>
      </c>
      <c r="R817" s="1">
        <v>45169</v>
      </c>
      <c r="S817" t="s">
        <v>2923</v>
      </c>
    </row>
    <row r="818" spans="1:19" x14ac:dyDescent="0.3">
      <c r="A818" s="1">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1">
        <v>45760</v>
      </c>
      <c r="R818" s="1">
        <v>45769</v>
      </c>
      <c r="S818" t="s">
        <v>2923</v>
      </c>
    </row>
    <row r="819" spans="1:19" x14ac:dyDescent="0.3">
      <c r="A819" s="1">
        <v>45454</v>
      </c>
      <c r="B819" t="s">
        <v>22</v>
      </c>
      <c r="C819" t="s">
        <v>26</v>
      </c>
      <c r="D819">
        <v>5</v>
      </c>
      <c r="E819">
        <v>538.52</v>
      </c>
      <c r="F819" t="s">
        <v>31</v>
      </c>
      <c r="G819" t="s">
        <v>35</v>
      </c>
      <c r="H819">
        <v>0.05</v>
      </c>
      <c r="I819" t="s">
        <v>38</v>
      </c>
      <c r="J819">
        <v>2557.9699999999998</v>
      </c>
      <c r="K819" t="s">
        <v>44</v>
      </c>
      <c r="L819" t="s">
        <v>2927</v>
      </c>
      <c r="M819">
        <v>0</v>
      </c>
      <c r="N819" t="s">
        <v>868</v>
      </c>
      <c r="O819" t="s">
        <v>2330</v>
      </c>
      <c r="P819">
        <v>45.81</v>
      </c>
      <c r="Q819" s="1">
        <v>45454</v>
      </c>
      <c r="R819" s="1">
        <v>45460</v>
      </c>
      <c r="S819" t="s">
        <v>2925</v>
      </c>
    </row>
    <row r="820" spans="1:19" x14ac:dyDescent="0.3">
      <c r="A820" s="1">
        <v>45411</v>
      </c>
      <c r="B820" t="s">
        <v>20</v>
      </c>
      <c r="C820" t="s">
        <v>25</v>
      </c>
      <c r="D820">
        <v>11</v>
      </c>
      <c r="E820">
        <v>255.95</v>
      </c>
      <c r="F820" t="s">
        <v>33</v>
      </c>
      <c r="G820" t="s">
        <v>35</v>
      </c>
      <c r="H820">
        <v>0.1</v>
      </c>
      <c r="I820" t="s">
        <v>38</v>
      </c>
      <c r="J820">
        <v>2533.9050000000002</v>
      </c>
      <c r="K820" t="s">
        <v>43</v>
      </c>
      <c r="L820" t="s">
        <v>2927</v>
      </c>
      <c r="M820">
        <v>0</v>
      </c>
      <c r="N820" t="s">
        <v>869</v>
      </c>
      <c r="O820" t="s">
        <v>2331</v>
      </c>
      <c r="P820">
        <v>21.99</v>
      </c>
      <c r="Q820" s="1">
        <v>45411</v>
      </c>
      <c r="R820" s="1">
        <v>45416</v>
      </c>
      <c r="S820" t="s">
        <v>2923</v>
      </c>
    </row>
    <row r="821" spans="1:19" x14ac:dyDescent="0.3">
      <c r="A821" s="1">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1">
        <v>45012</v>
      </c>
      <c r="R821" s="1">
        <v>45020</v>
      </c>
      <c r="S821" t="s">
        <v>2923</v>
      </c>
    </row>
    <row r="822" spans="1:19" x14ac:dyDescent="0.3">
      <c r="A822" s="1">
        <v>45588</v>
      </c>
      <c r="B822" t="s">
        <v>21</v>
      </c>
      <c r="C822" t="s">
        <v>27</v>
      </c>
      <c r="D822">
        <v>20</v>
      </c>
      <c r="E822">
        <v>198.95</v>
      </c>
      <c r="F822" t="s">
        <v>31</v>
      </c>
      <c r="G822" t="s">
        <v>36</v>
      </c>
      <c r="H822">
        <v>0.1</v>
      </c>
      <c r="I822" t="s">
        <v>41</v>
      </c>
      <c r="J822">
        <v>3581.1</v>
      </c>
      <c r="K822" t="s">
        <v>45</v>
      </c>
      <c r="L822" t="s">
        <v>2927</v>
      </c>
      <c r="M822">
        <v>1</v>
      </c>
      <c r="N822" t="s">
        <v>871</v>
      </c>
      <c r="O822" t="s">
        <v>2333</v>
      </c>
      <c r="P822">
        <v>5.16</v>
      </c>
      <c r="Q822" s="1">
        <v>45588</v>
      </c>
      <c r="R822" s="1">
        <v>45590</v>
      </c>
      <c r="S822" t="s">
        <v>2924</v>
      </c>
    </row>
    <row r="823" spans="1:19" x14ac:dyDescent="0.3">
      <c r="A823" s="1">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1">
        <v>45098</v>
      </c>
      <c r="R823" s="1">
        <v>45105</v>
      </c>
      <c r="S823" t="s">
        <v>2924</v>
      </c>
    </row>
    <row r="824" spans="1:19" x14ac:dyDescent="0.3">
      <c r="A824" s="1">
        <v>45058</v>
      </c>
      <c r="B824" t="s">
        <v>22</v>
      </c>
      <c r="C824" t="s">
        <v>30</v>
      </c>
      <c r="D824">
        <v>10</v>
      </c>
      <c r="E824">
        <v>50.1</v>
      </c>
      <c r="F824" t="s">
        <v>32</v>
      </c>
      <c r="G824" t="s">
        <v>35</v>
      </c>
      <c r="H824">
        <v>0.1</v>
      </c>
      <c r="I824" t="s">
        <v>42</v>
      </c>
      <c r="J824">
        <v>450.9</v>
      </c>
      <c r="K824" t="s">
        <v>47</v>
      </c>
      <c r="L824" t="s">
        <v>48</v>
      </c>
      <c r="M824">
        <v>1</v>
      </c>
      <c r="N824" t="s">
        <v>873</v>
      </c>
      <c r="O824" t="s">
        <v>2122</v>
      </c>
      <c r="P824">
        <v>23.43</v>
      </c>
      <c r="Q824" s="1">
        <v>45058</v>
      </c>
      <c r="R824" s="1">
        <v>45065</v>
      </c>
      <c r="S824" t="s">
        <v>2925</v>
      </c>
    </row>
    <row r="825" spans="1:19" x14ac:dyDescent="0.3">
      <c r="A825" s="1">
        <v>45585</v>
      </c>
      <c r="B825" t="s">
        <v>22</v>
      </c>
      <c r="C825" t="s">
        <v>30</v>
      </c>
      <c r="D825">
        <v>19</v>
      </c>
      <c r="E825">
        <v>554.5</v>
      </c>
      <c r="F825" t="s">
        <v>31</v>
      </c>
      <c r="G825" t="s">
        <v>36</v>
      </c>
      <c r="H825">
        <v>0.15</v>
      </c>
      <c r="I825" t="s">
        <v>40</v>
      </c>
      <c r="J825">
        <v>8955.1749999999993</v>
      </c>
      <c r="K825" t="s">
        <v>43</v>
      </c>
      <c r="L825" t="s">
        <v>2927</v>
      </c>
      <c r="M825">
        <v>1</v>
      </c>
      <c r="N825" t="s">
        <v>874</v>
      </c>
      <c r="O825" t="s">
        <v>2334</v>
      </c>
      <c r="P825">
        <v>47.16</v>
      </c>
      <c r="Q825" s="1">
        <v>45585</v>
      </c>
      <c r="R825" s="1">
        <v>45589</v>
      </c>
      <c r="S825" t="s">
        <v>2925</v>
      </c>
    </row>
    <row r="826" spans="1:19" x14ac:dyDescent="0.3">
      <c r="A826" s="1">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1">
        <v>45386</v>
      </c>
      <c r="R826" s="1">
        <v>45389</v>
      </c>
      <c r="S826" t="s">
        <v>2924</v>
      </c>
    </row>
    <row r="827" spans="1:19" x14ac:dyDescent="0.3">
      <c r="A827" s="1">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1">
        <v>45669</v>
      </c>
      <c r="R827" s="1">
        <v>45673</v>
      </c>
      <c r="S827" t="s">
        <v>2925</v>
      </c>
    </row>
    <row r="828" spans="1:19" x14ac:dyDescent="0.3">
      <c r="A828" s="1">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1">
        <v>45131</v>
      </c>
      <c r="R828" s="1">
        <v>45136</v>
      </c>
      <c r="S828" t="s">
        <v>2923</v>
      </c>
    </row>
    <row r="829" spans="1:19" x14ac:dyDescent="0.3">
      <c r="A829" s="1">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1">
        <v>45178</v>
      </c>
      <c r="R829" s="1">
        <v>45182</v>
      </c>
      <c r="S829" t="s">
        <v>2924</v>
      </c>
    </row>
    <row r="830" spans="1:19" x14ac:dyDescent="0.3">
      <c r="A830" s="1">
        <v>45402</v>
      </c>
      <c r="B830" t="s">
        <v>19</v>
      </c>
      <c r="C830" t="s">
        <v>30</v>
      </c>
      <c r="D830">
        <v>5</v>
      </c>
      <c r="E830">
        <v>550.65</v>
      </c>
      <c r="F830" t="s">
        <v>32</v>
      </c>
      <c r="G830" t="s">
        <v>36</v>
      </c>
      <c r="H830">
        <v>0.15</v>
      </c>
      <c r="I830" t="s">
        <v>42</v>
      </c>
      <c r="J830">
        <v>2340.2624999999998</v>
      </c>
      <c r="K830" t="s">
        <v>44</v>
      </c>
      <c r="L830" t="s">
        <v>2927</v>
      </c>
      <c r="M830">
        <v>0</v>
      </c>
      <c r="N830" t="s">
        <v>879</v>
      </c>
      <c r="O830" t="s">
        <v>2338</v>
      </c>
      <c r="P830">
        <v>16.82</v>
      </c>
      <c r="Q830" s="1">
        <v>45402</v>
      </c>
      <c r="R830" s="1">
        <v>45409</v>
      </c>
      <c r="S830" t="s">
        <v>2922</v>
      </c>
    </row>
    <row r="831" spans="1:19" x14ac:dyDescent="0.3">
      <c r="A831" s="1">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1">
        <v>45694</v>
      </c>
      <c r="R831" s="1">
        <v>45702</v>
      </c>
      <c r="S831" t="s">
        <v>2926</v>
      </c>
    </row>
    <row r="832" spans="1:19" x14ac:dyDescent="0.3">
      <c r="A832" s="1">
        <v>45095</v>
      </c>
      <c r="B832" t="s">
        <v>23</v>
      </c>
      <c r="C832" t="s">
        <v>29</v>
      </c>
      <c r="D832">
        <v>19</v>
      </c>
      <c r="E832">
        <v>25.22</v>
      </c>
      <c r="F832" t="s">
        <v>33</v>
      </c>
      <c r="G832" t="s">
        <v>35</v>
      </c>
      <c r="H832">
        <v>0</v>
      </c>
      <c r="I832" t="s">
        <v>42</v>
      </c>
      <c r="J832">
        <v>479.17999999999989</v>
      </c>
      <c r="K832" t="s">
        <v>45</v>
      </c>
      <c r="L832" t="s">
        <v>2927</v>
      </c>
      <c r="M832">
        <v>0</v>
      </c>
      <c r="N832" t="s">
        <v>881</v>
      </c>
      <c r="O832" t="s">
        <v>2339</v>
      </c>
      <c r="P832">
        <v>31.31</v>
      </c>
      <c r="Q832" s="1">
        <v>45095</v>
      </c>
      <c r="R832" s="1">
        <v>45099</v>
      </c>
      <c r="S832" t="s">
        <v>2926</v>
      </c>
    </row>
    <row r="833" spans="1:19" x14ac:dyDescent="0.3">
      <c r="A833" s="1">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1">
        <v>45597</v>
      </c>
      <c r="R833" s="1">
        <v>45604</v>
      </c>
      <c r="S833" t="s">
        <v>2924</v>
      </c>
    </row>
    <row r="834" spans="1:19" x14ac:dyDescent="0.3">
      <c r="A834" s="1">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1">
        <v>45516</v>
      </c>
      <c r="R834" s="1">
        <v>45525</v>
      </c>
      <c r="S834" t="s">
        <v>2926</v>
      </c>
    </row>
    <row r="835" spans="1:19" x14ac:dyDescent="0.3">
      <c r="A835" s="1">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1">
        <v>45755</v>
      </c>
      <c r="R835" s="1">
        <v>45764</v>
      </c>
      <c r="S835" t="s">
        <v>2925</v>
      </c>
    </row>
    <row r="836" spans="1:19" x14ac:dyDescent="0.3">
      <c r="A836" s="1">
        <v>45493</v>
      </c>
      <c r="B836" t="s">
        <v>22</v>
      </c>
      <c r="C836" t="s">
        <v>24</v>
      </c>
      <c r="D836">
        <v>8</v>
      </c>
      <c r="E836">
        <v>224.18</v>
      </c>
      <c r="F836" t="s">
        <v>31</v>
      </c>
      <c r="G836" t="s">
        <v>36</v>
      </c>
      <c r="H836">
        <v>0.15</v>
      </c>
      <c r="I836" t="s">
        <v>42</v>
      </c>
      <c r="J836">
        <v>1524.424</v>
      </c>
      <c r="K836" t="s">
        <v>46</v>
      </c>
      <c r="L836" t="s">
        <v>2927</v>
      </c>
      <c r="M836">
        <v>0</v>
      </c>
      <c r="N836" t="s">
        <v>885</v>
      </c>
      <c r="O836" t="s">
        <v>2343</v>
      </c>
      <c r="P836">
        <v>36.9</v>
      </c>
      <c r="Q836" s="1">
        <v>45493</v>
      </c>
      <c r="R836" s="1">
        <v>45499</v>
      </c>
      <c r="S836" t="s">
        <v>2925</v>
      </c>
    </row>
    <row r="837" spans="1:19" x14ac:dyDescent="0.3">
      <c r="A837" s="1">
        <v>44974</v>
      </c>
      <c r="B837" t="s">
        <v>23</v>
      </c>
      <c r="C837" t="s">
        <v>26</v>
      </c>
      <c r="D837">
        <v>6</v>
      </c>
      <c r="E837">
        <v>327.69</v>
      </c>
      <c r="F837" t="s">
        <v>34</v>
      </c>
      <c r="G837" t="s">
        <v>35</v>
      </c>
      <c r="H837">
        <v>0.05</v>
      </c>
      <c r="I837" t="s">
        <v>41</v>
      </c>
      <c r="J837">
        <v>1867.8330000000001</v>
      </c>
      <c r="K837" t="s">
        <v>47</v>
      </c>
      <c r="L837" t="s">
        <v>2927</v>
      </c>
      <c r="M837">
        <v>0</v>
      </c>
      <c r="N837" t="s">
        <v>886</v>
      </c>
      <c r="O837" t="s">
        <v>2344</v>
      </c>
      <c r="P837">
        <v>22.34</v>
      </c>
      <c r="Q837" s="1">
        <v>44974</v>
      </c>
      <c r="R837" s="1">
        <v>44978</v>
      </c>
      <c r="S837" t="s">
        <v>2926</v>
      </c>
    </row>
    <row r="838" spans="1:19" x14ac:dyDescent="0.3">
      <c r="A838" s="1">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1">
        <v>45475</v>
      </c>
      <c r="R838" s="1">
        <v>45477</v>
      </c>
      <c r="S838" t="s">
        <v>2922</v>
      </c>
    </row>
    <row r="839" spans="1:19" x14ac:dyDescent="0.3">
      <c r="A839" s="1">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1">
        <v>45748</v>
      </c>
      <c r="R839" s="1">
        <v>45751</v>
      </c>
      <c r="S839" t="s">
        <v>2924</v>
      </c>
    </row>
    <row r="840" spans="1:19" x14ac:dyDescent="0.3">
      <c r="A840" s="1">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1">
        <v>45810</v>
      </c>
      <c r="R840" s="1">
        <v>45817</v>
      </c>
      <c r="S840" t="s">
        <v>2923</v>
      </c>
    </row>
    <row r="841" spans="1:19" x14ac:dyDescent="0.3">
      <c r="A841" s="1">
        <v>45617</v>
      </c>
      <c r="B841" t="s">
        <v>23</v>
      </c>
      <c r="C841" t="s">
        <v>25</v>
      </c>
      <c r="D841">
        <v>5</v>
      </c>
      <c r="E841">
        <v>69.290000000000006</v>
      </c>
      <c r="F841" t="s">
        <v>33</v>
      </c>
      <c r="G841" t="s">
        <v>35</v>
      </c>
      <c r="H841">
        <v>0</v>
      </c>
      <c r="I841" t="s">
        <v>40</v>
      </c>
      <c r="J841">
        <v>346.45</v>
      </c>
      <c r="K841" t="s">
        <v>45</v>
      </c>
      <c r="L841" t="s">
        <v>2927</v>
      </c>
      <c r="M841">
        <v>0</v>
      </c>
      <c r="N841" t="s">
        <v>890</v>
      </c>
      <c r="O841" t="s">
        <v>2348</v>
      </c>
      <c r="P841">
        <v>20.83</v>
      </c>
      <c r="Q841" s="1">
        <v>45617</v>
      </c>
      <c r="R841" s="1">
        <v>45625</v>
      </c>
      <c r="S841" t="s">
        <v>2926</v>
      </c>
    </row>
    <row r="842" spans="1:19" x14ac:dyDescent="0.3">
      <c r="A842" s="1">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1">
        <v>45301</v>
      </c>
      <c r="R842" s="1">
        <v>45305</v>
      </c>
      <c r="S842" t="s">
        <v>2923</v>
      </c>
    </row>
    <row r="843" spans="1:19" x14ac:dyDescent="0.3">
      <c r="A843" s="1">
        <v>45220</v>
      </c>
      <c r="B843" t="s">
        <v>21</v>
      </c>
      <c r="C843" t="s">
        <v>26</v>
      </c>
      <c r="D843">
        <v>4</v>
      </c>
      <c r="E843">
        <v>390.3</v>
      </c>
      <c r="F843" t="s">
        <v>32</v>
      </c>
      <c r="G843" t="s">
        <v>36</v>
      </c>
      <c r="H843">
        <v>0.15</v>
      </c>
      <c r="I843" t="s">
        <v>41</v>
      </c>
      <c r="J843">
        <v>1327.02</v>
      </c>
      <c r="K843" t="s">
        <v>46</v>
      </c>
      <c r="L843" t="s">
        <v>2927</v>
      </c>
      <c r="M843">
        <v>0</v>
      </c>
      <c r="N843" t="s">
        <v>892</v>
      </c>
      <c r="O843" t="s">
        <v>2350</v>
      </c>
      <c r="P843">
        <v>43.56</v>
      </c>
      <c r="Q843" s="1">
        <v>45220</v>
      </c>
      <c r="R843" s="1">
        <v>45225</v>
      </c>
      <c r="S843" t="s">
        <v>2924</v>
      </c>
    </row>
    <row r="844" spans="1:19" x14ac:dyDescent="0.3">
      <c r="A844" s="1">
        <v>45677</v>
      </c>
      <c r="B844" t="s">
        <v>21</v>
      </c>
      <c r="C844" t="s">
        <v>25</v>
      </c>
      <c r="D844">
        <v>7</v>
      </c>
      <c r="E844">
        <v>61.83</v>
      </c>
      <c r="F844" t="s">
        <v>31</v>
      </c>
      <c r="G844" t="s">
        <v>36</v>
      </c>
      <c r="H844">
        <v>0</v>
      </c>
      <c r="I844" t="s">
        <v>41</v>
      </c>
      <c r="J844">
        <v>432.81</v>
      </c>
      <c r="K844" t="s">
        <v>43</v>
      </c>
      <c r="L844" t="s">
        <v>50</v>
      </c>
      <c r="M844">
        <v>0</v>
      </c>
      <c r="N844" t="s">
        <v>893</v>
      </c>
      <c r="O844" t="s">
        <v>2351</v>
      </c>
      <c r="P844">
        <v>25.49</v>
      </c>
      <c r="Q844" s="1">
        <v>45677</v>
      </c>
      <c r="R844" s="1">
        <v>45679</v>
      </c>
      <c r="S844" t="s">
        <v>2924</v>
      </c>
    </row>
    <row r="845" spans="1:19" x14ac:dyDescent="0.3">
      <c r="A845" s="1">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1">
        <v>45605</v>
      </c>
      <c r="R845" s="1">
        <v>45613</v>
      </c>
      <c r="S845" t="s">
        <v>2926</v>
      </c>
    </row>
    <row r="846" spans="1:19" x14ac:dyDescent="0.3">
      <c r="A846" s="1">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1">
        <v>45385</v>
      </c>
      <c r="R846" s="1">
        <v>45389</v>
      </c>
      <c r="S846" t="s">
        <v>2926</v>
      </c>
    </row>
    <row r="847" spans="1:19" x14ac:dyDescent="0.3">
      <c r="A847" s="1">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1">
        <v>45297</v>
      </c>
      <c r="R847" s="1">
        <v>45299</v>
      </c>
      <c r="S847" t="s">
        <v>2924</v>
      </c>
    </row>
    <row r="848" spans="1:19" x14ac:dyDescent="0.3">
      <c r="A848" s="1">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1">
        <v>45140</v>
      </c>
      <c r="R848" s="1">
        <v>45143</v>
      </c>
      <c r="S848" t="s">
        <v>2925</v>
      </c>
    </row>
    <row r="849" spans="1:19" x14ac:dyDescent="0.3">
      <c r="A849" s="1">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1">
        <v>45256</v>
      </c>
      <c r="R849" s="1">
        <v>45261</v>
      </c>
      <c r="S849" t="s">
        <v>2924</v>
      </c>
    </row>
    <row r="850" spans="1:19" x14ac:dyDescent="0.3">
      <c r="A850" s="1">
        <v>45767</v>
      </c>
      <c r="B850" t="s">
        <v>19</v>
      </c>
      <c r="C850" t="s">
        <v>26</v>
      </c>
      <c r="D850">
        <v>17</v>
      </c>
      <c r="E850">
        <v>469.25</v>
      </c>
      <c r="F850" t="s">
        <v>31</v>
      </c>
      <c r="G850" t="s">
        <v>35</v>
      </c>
      <c r="H850">
        <v>0.05</v>
      </c>
      <c r="I850" t="s">
        <v>42</v>
      </c>
      <c r="J850">
        <v>7578.3874999999998</v>
      </c>
      <c r="K850" t="s">
        <v>45</v>
      </c>
      <c r="L850" t="s">
        <v>2927</v>
      </c>
      <c r="M850">
        <v>0</v>
      </c>
      <c r="N850" t="s">
        <v>899</v>
      </c>
      <c r="O850" t="s">
        <v>2357</v>
      </c>
      <c r="P850">
        <v>45.76</v>
      </c>
      <c r="Q850" s="1">
        <v>45767</v>
      </c>
      <c r="R850" s="1">
        <v>45773</v>
      </c>
      <c r="S850" t="s">
        <v>2922</v>
      </c>
    </row>
    <row r="851" spans="1:19" x14ac:dyDescent="0.3">
      <c r="A851" s="1">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1">
        <v>45289</v>
      </c>
      <c r="R851" s="1">
        <v>45296</v>
      </c>
      <c r="S851" t="s">
        <v>2923</v>
      </c>
    </row>
    <row r="852" spans="1:19" x14ac:dyDescent="0.3">
      <c r="A852" s="1">
        <v>45665</v>
      </c>
      <c r="B852" t="s">
        <v>22</v>
      </c>
      <c r="C852" t="s">
        <v>27</v>
      </c>
      <c r="D852">
        <v>19</v>
      </c>
      <c r="E852">
        <v>465.27</v>
      </c>
      <c r="F852" t="s">
        <v>33</v>
      </c>
      <c r="G852" t="s">
        <v>36</v>
      </c>
      <c r="H852">
        <v>0.05</v>
      </c>
      <c r="I852" t="s">
        <v>41</v>
      </c>
      <c r="J852">
        <v>8398.1234999999997</v>
      </c>
      <c r="K852" t="s">
        <v>45</v>
      </c>
      <c r="L852" t="s">
        <v>2927</v>
      </c>
      <c r="M852">
        <v>0</v>
      </c>
      <c r="N852" t="s">
        <v>901</v>
      </c>
      <c r="O852" t="s">
        <v>2359</v>
      </c>
      <c r="P852">
        <v>44.95</v>
      </c>
      <c r="Q852" s="1">
        <v>45665</v>
      </c>
      <c r="R852" s="1">
        <v>45667</v>
      </c>
      <c r="S852" t="s">
        <v>2925</v>
      </c>
    </row>
    <row r="853" spans="1:19" x14ac:dyDescent="0.3">
      <c r="A853" s="1">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1">
        <v>45418</v>
      </c>
      <c r="R853" s="1">
        <v>45426</v>
      </c>
      <c r="S853" t="s">
        <v>2922</v>
      </c>
    </row>
    <row r="854" spans="1:19" x14ac:dyDescent="0.3">
      <c r="A854" s="1">
        <v>45550</v>
      </c>
      <c r="B854" t="s">
        <v>21</v>
      </c>
      <c r="C854" t="s">
        <v>26</v>
      </c>
      <c r="D854">
        <v>14</v>
      </c>
      <c r="E854">
        <v>472.51</v>
      </c>
      <c r="F854" t="s">
        <v>34</v>
      </c>
      <c r="G854" t="s">
        <v>35</v>
      </c>
      <c r="H854">
        <v>0.05</v>
      </c>
      <c r="I854" t="s">
        <v>42</v>
      </c>
      <c r="J854">
        <v>6284.3829999999989</v>
      </c>
      <c r="K854" t="s">
        <v>44</v>
      </c>
      <c r="L854" t="s">
        <v>2927</v>
      </c>
      <c r="M854">
        <v>0</v>
      </c>
      <c r="N854" t="s">
        <v>903</v>
      </c>
      <c r="O854" t="s">
        <v>2361</v>
      </c>
      <c r="P854">
        <v>13.54</v>
      </c>
      <c r="Q854" s="1">
        <v>45550</v>
      </c>
      <c r="R854" s="1">
        <v>45555</v>
      </c>
      <c r="S854" t="s">
        <v>2924</v>
      </c>
    </row>
    <row r="855" spans="1:19" x14ac:dyDescent="0.3">
      <c r="A855" s="1">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1">
        <v>44964</v>
      </c>
      <c r="R855" s="1">
        <v>44969</v>
      </c>
      <c r="S855" t="s">
        <v>2926</v>
      </c>
    </row>
    <row r="856" spans="1:19" x14ac:dyDescent="0.3">
      <c r="A856" s="1">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1">
        <v>44986</v>
      </c>
      <c r="R856" s="1">
        <v>44994</v>
      </c>
      <c r="S856" t="s">
        <v>2922</v>
      </c>
    </row>
    <row r="857" spans="1:19" x14ac:dyDescent="0.3">
      <c r="A857" s="1">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1">
        <v>45420</v>
      </c>
      <c r="R857" s="1">
        <v>45424</v>
      </c>
      <c r="S857" t="s">
        <v>2924</v>
      </c>
    </row>
    <row r="858" spans="1:19" x14ac:dyDescent="0.3">
      <c r="A858" s="1">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1">
        <v>45449</v>
      </c>
      <c r="R858" s="1">
        <v>45451</v>
      </c>
      <c r="S858" t="s">
        <v>2922</v>
      </c>
    </row>
    <row r="859" spans="1:19" x14ac:dyDescent="0.3">
      <c r="A859" s="1">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1">
        <v>45045</v>
      </c>
      <c r="R859" s="1">
        <v>45054</v>
      </c>
      <c r="S859" t="s">
        <v>2924</v>
      </c>
    </row>
    <row r="860" spans="1:19" x14ac:dyDescent="0.3">
      <c r="A860" s="1">
        <v>45189</v>
      </c>
      <c r="B860" t="s">
        <v>22</v>
      </c>
      <c r="C860" t="s">
        <v>29</v>
      </c>
      <c r="D860">
        <v>9</v>
      </c>
      <c r="E860">
        <v>588.59</v>
      </c>
      <c r="F860" t="s">
        <v>34</v>
      </c>
      <c r="G860" t="s">
        <v>35</v>
      </c>
      <c r="H860">
        <v>0.05</v>
      </c>
      <c r="I860" t="s">
        <v>41</v>
      </c>
      <c r="J860">
        <v>5032.4445000000014</v>
      </c>
      <c r="K860" t="s">
        <v>43</v>
      </c>
      <c r="L860" t="s">
        <v>2927</v>
      </c>
      <c r="M860">
        <v>0</v>
      </c>
      <c r="N860" t="s">
        <v>909</v>
      </c>
      <c r="O860" t="s">
        <v>2366</v>
      </c>
      <c r="P860">
        <v>42.3</v>
      </c>
      <c r="Q860" s="1">
        <v>45189</v>
      </c>
      <c r="R860" s="1">
        <v>45191</v>
      </c>
      <c r="S860" t="s">
        <v>2925</v>
      </c>
    </row>
    <row r="861" spans="1:19" x14ac:dyDescent="0.3">
      <c r="A861" s="1">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1">
        <v>45604</v>
      </c>
      <c r="R861" s="1">
        <v>45609</v>
      </c>
      <c r="S861" t="s">
        <v>2923</v>
      </c>
    </row>
    <row r="862" spans="1:19" x14ac:dyDescent="0.3">
      <c r="A862" s="1">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1">
        <v>45007</v>
      </c>
      <c r="R862" s="1">
        <v>45015</v>
      </c>
      <c r="S862" t="s">
        <v>2924</v>
      </c>
    </row>
    <row r="863" spans="1:19" x14ac:dyDescent="0.3">
      <c r="A863" s="1">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1">
        <v>45174</v>
      </c>
      <c r="R863" s="1">
        <v>45182</v>
      </c>
      <c r="S863" t="s">
        <v>2922</v>
      </c>
    </row>
    <row r="864" spans="1:19" x14ac:dyDescent="0.3">
      <c r="A864" s="1">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1">
        <v>44983</v>
      </c>
      <c r="R864" s="1">
        <v>44990</v>
      </c>
      <c r="S864" t="s">
        <v>2922</v>
      </c>
    </row>
    <row r="865" spans="1:19" x14ac:dyDescent="0.3">
      <c r="A865" s="1">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1">
        <v>45622</v>
      </c>
      <c r="R865" s="1">
        <v>45625</v>
      </c>
      <c r="S865" t="s">
        <v>2926</v>
      </c>
    </row>
    <row r="866" spans="1:19" x14ac:dyDescent="0.3">
      <c r="A866" s="1">
        <v>45579</v>
      </c>
      <c r="B866" t="s">
        <v>22</v>
      </c>
      <c r="C866" t="s">
        <v>27</v>
      </c>
      <c r="D866">
        <v>3</v>
      </c>
      <c r="E866">
        <v>391.63</v>
      </c>
      <c r="F866" t="s">
        <v>33</v>
      </c>
      <c r="G866" t="s">
        <v>36</v>
      </c>
      <c r="H866">
        <v>0</v>
      </c>
      <c r="I866" t="s">
        <v>39</v>
      </c>
      <c r="J866">
        <v>1174.8900000000001</v>
      </c>
      <c r="K866" t="s">
        <v>46</v>
      </c>
      <c r="L866" t="s">
        <v>2927</v>
      </c>
      <c r="M866">
        <v>1</v>
      </c>
      <c r="N866" t="s">
        <v>915</v>
      </c>
      <c r="O866" t="s">
        <v>2372</v>
      </c>
      <c r="P866">
        <v>25.36</v>
      </c>
      <c r="Q866" s="1">
        <v>45579</v>
      </c>
      <c r="R866" s="1">
        <v>45582</v>
      </c>
      <c r="S866" t="s">
        <v>2925</v>
      </c>
    </row>
    <row r="867" spans="1:19" x14ac:dyDescent="0.3">
      <c r="A867" s="1">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1">
        <v>45075</v>
      </c>
      <c r="R867" s="1">
        <v>45080</v>
      </c>
      <c r="S867" t="s">
        <v>2925</v>
      </c>
    </row>
    <row r="868" spans="1:19" x14ac:dyDescent="0.3">
      <c r="A868" s="1">
        <v>45373</v>
      </c>
      <c r="B868" t="s">
        <v>22</v>
      </c>
      <c r="C868" t="s">
        <v>24</v>
      </c>
      <c r="D868">
        <v>6</v>
      </c>
      <c r="E868">
        <v>453.86</v>
      </c>
      <c r="F868" t="s">
        <v>31</v>
      </c>
      <c r="G868" t="s">
        <v>36</v>
      </c>
      <c r="H868">
        <v>0.15</v>
      </c>
      <c r="I868" t="s">
        <v>38</v>
      </c>
      <c r="J868">
        <v>2314.6860000000001</v>
      </c>
      <c r="K868" t="s">
        <v>45</v>
      </c>
      <c r="L868" t="s">
        <v>2927</v>
      </c>
      <c r="M868">
        <v>0</v>
      </c>
      <c r="N868" t="s">
        <v>917</v>
      </c>
      <c r="O868" t="s">
        <v>2374</v>
      </c>
      <c r="P868">
        <v>45.32</v>
      </c>
      <c r="Q868" s="1">
        <v>45373</v>
      </c>
      <c r="R868" s="1">
        <v>45382</v>
      </c>
      <c r="S868" t="s">
        <v>2925</v>
      </c>
    </row>
    <row r="869" spans="1:19" x14ac:dyDescent="0.3">
      <c r="A869" s="1">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1">
        <v>45038</v>
      </c>
      <c r="R869" s="1">
        <v>45048</v>
      </c>
      <c r="S869" t="s">
        <v>2923</v>
      </c>
    </row>
    <row r="870" spans="1:19" x14ac:dyDescent="0.3">
      <c r="A870" s="1">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1">
        <v>45814</v>
      </c>
      <c r="R870" s="1">
        <v>45820</v>
      </c>
      <c r="S870" t="s">
        <v>2924</v>
      </c>
    </row>
    <row r="871" spans="1:19" x14ac:dyDescent="0.3">
      <c r="A871" s="1">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1">
        <v>44951</v>
      </c>
      <c r="R871" s="1">
        <v>44955</v>
      </c>
      <c r="S871" t="s">
        <v>2925</v>
      </c>
    </row>
    <row r="872" spans="1:19" x14ac:dyDescent="0.3">
      <c r="A872" s="1">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1">
        <v>45177</v>
      </c>
      <c r="R872" s="1">
        <v>45179</v>
      </c>
      <c r="S872" t="s">
        <v>2923</v>
      </c>
    </row>
    <row r="873" spans="1:19" x14ac:dyDescent="0.3">
      <c r="A873" s="1">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1">
        <v>45569</v>
      </c>
      <c r="R873" s="1">
        <v>45576</v>
      </c>
      <c r="S873" t="s">
        <v>2922</v>
      </c>
    </row>
    <row r="874" spans="1:19" x14ac:dyDescent="0.3">
      <c r="A874" s="1">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1">
        <v>45753</v>
      </c>
      <c r="R874" s="1">
        <v>45755</v>
      </c>
      <c r="S874" t="s">
        <v>2922</v>
      </c>
    </row>
    <row r="875" spans="1:19" x14ac:dyDescent="0.3">
      <c r="A875" s="1">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1">
        <v>45529</v>
      </c>
      <c r="R875" s="1">
        <v>45533</v>
      </c>
      <c r="S875" t="s">
        <v>2922</v>
      </c>
    </row>
    <row r="876" spans="1:19" x14ac:dyDescent="0.3">
      <c r="A876" s="1">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1">
        <v>45357</v>
      </c>
      <c r="R876" s="1">
        <v>45363</v>
      </c>
      <c r="S876" t="s">
        <v>2924</v>
      </c>
    </row>
    <row r="877" spans="1:19" x14ac:dyDescent="0.3">
      <c r="A877" s="1">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1">
        <v>45008</v>
      </c>
      <c r="R877" s="1">
        <v>45011</v>
      </c>
      <c r="S877" t="s">
        <v>2922</v>
      </c>
    </row>
    <row r="878" spans="1:19" x14ac:dyDescent="0.3">
      <c r="A878" s="1">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1">
        <v>45304</v>
      </c>
      <c r="R878" s="1">
        <v>45308</v>
      </c>
      <c r="S878" t="s">
        <v>2925</v>
      </c>
    </row>
    <row r="879" spans="1:19" x14ac:dyDescent="0.3">
      <c r="A879" s="1">
        <v>45125</v>
      </c>
      <c r="B879" t="s">
        <v>22</v>
      </c>
      <c r="C879" t="s">
        <v>30</v>
      </c>
      <c r="D879">
        <v>15</v>
      </c>
      <c r="E879">
        <v>144.11000000000001</v>
      </c>
      <c r="F879" t="s">
        <v>33</v>
      </c>
      <c r="G879" t="s">
        <v>36</v>
      </c>
      <c r="H879">
        <v>0</v>
      </c>
      <c r="I879" t="s">
        <v>39</v>
      </c>
      <c r="J879">
        <v>2161.65</v>
      </c>
      <c r="K879" t="s">
        <v>44</v>
      </c>
      <c r="L879" t="s">
        <v>2927</v>
      </c>
      <c r="M879">
        <v>0</v>
      </c>
      <c r="N879" t="s">
        <v>928</v>
      </c>
      <c r="O879" t="s">
        <v>2384</v>
      </c>
      <c r="P879">
        <v>28.51</v>
      </c>
      <c r="Q879" s="1">
        <v>45125</v>
      </c>
      <c r="R879" s="1">
        <v>45131</v>
      </c>
      <c r="S879" t="s">
        <v>2925</v>
      </c>
    </row>
    <row r="880" spans="1:19" x14ac:dyDescent="0.3">
      <c r="A880" s="1">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1">
        <v>45711</v>
      </c>
      <c r="R880" s="1">
        <v>45720</v>
      </c>
      <c r="S880" t="s">
        <v>2926</v>
      </c>
    </row>
    <row r="881" spans="1:19" x14ac:dyDescent="0.3">
      <c r="A881" s="1">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1">
        <v>44979</v>
      </c>
      <c r="R881" s="1">
        <v>44987</v>
      </c>
      <c r="S881" t="s">
        <v>2922</v>
      </c>
    </row>
    <row r="882" spans="1:19" x14ac:dyDescent="0.3">
      <c r="A882" s="1">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1">
        <v>45583</v>
      </c>
      <c r="R882" s="1">
        <v>45593</v>
      </c>
      <c r="S882" t="s">
        <v>2924</v>
      </c>
    </row>
    <row r="883" spans="1:19" x14ac:dyDescent="0.3">
      <c r="A883" s="1">
        <v>45225</v>
      </c>
      <c r="B883" t="s">
        <v>23</v>
      </c>
      <c r="C883" t="s">
        <v>30</v>
      </c>
      <c r="D883">
        <v>16</v>
      </c>
      <c r="E883">
        <v>70.83</v>
      </c>
      <c r="F883" t="s">
        <v>31</v>
      </c>
      <c r="G883" t="s">
        <v>35</v>
      </c>
      <c r="H883">
        <v>0.05</v>
      </c>
      <c r="I883" t="s">
        <v>40</v>
      </c>
      <c r="J883">
        <v>1076.616</v>
      </c>
      <c r="K883" t="s">
        <v>44</v>
      </c>
      <c r="L883" t="s">
        <v>2927</v>
      </c>
      <c r="M883">
        <v>0</v>
      </c>
      <c r="N883" t="s">
        <v>932</v>
      </c>
      <c r="O883" t="s">
        <v>2388</v>
      </c>
      <c r="P883">
        <v>5.05</v>
      </c>
      <c r="Q883" s="1">
        <v>45225</v>
      </c>
      <c r="R883" s="1">
        <v>45230</v>
      </c>
      <c r="S883" t="s">
        <v>2926</v>
      </c>
    </row>
    <row r="884" spans="1:19" x14ac:dyDescent="0.3">
      <c r="A884" s="1">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1">
        <v>44936</v>
      </c>
      <c r="R884" s="1">
        <v>44940</v>
      </c>
      <c r="S884" t="s">
        <v>2925</v>
      </c>
    </row>
    <row r="885" spans="1:19" x14ac:dyDescent="0.3">
      <c r="A885" s="1">
        <v>45370</v>
      </c>
      <c r="B885" t="s">
        <v>22</v>
      </c>
      <c r="C885" t="s">
        <v>26</v>
      </c>
      <c r="D885">
        <v>10</v>
      </c>
      <c r="E885">
        <v>19.73</v>
      </c>
      <c r="F885" t="s">
        <v>34</v>
      </c>
      <c r="G885" t="s">
        <v>36</v>
      </c>
      <c r="H885">
        <v>0.1</v>
      </c>
      <c r="I885" t="s">
        <v>40</v>
      </c>
      <c r="J885">
        <v>177.57</v>
      </c>
      <c r="K885" t="s">
        <v>46</v>
      </c>
      <c r="L885" t="s">
        <v>2927</v>
      </c>
      <c r="M885">
        <v>0</v>
      </c>
      <c r="N885" t="s">
        <v>934</v>
      </c>
      <c r="O885" t="s">
        <v>2389</v>
      </c>
      <c r="P885">
        <v>16.059999999999999</v>
      </c>
      <c r="Q885" s="1">
        <v>45370</v>
      </c>
      <c r="R885" s="1">
        <v>45373</v>
      </c>
      <c r="S885" t="s">
        <v>2925</v>
      </c>
    </row>
    <row r="886" spans="1:19" x14ac:dyDescent="0.3">
      <c r="A886" s="1">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1">
        <v>45280</v>
      </c>
      <c r="R886" s="1">
        <v>45286</v>
      </c>
      <c r="S886" t="s">
        <v>2925</v>
      </c>
    </row>
    <row r="887" spans="1:19" x14ac:dyDescent="0.3">
      <c r="A887" s="1">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1">
        <v>45635</v>
      </c>
      <c r="R887" s="1">
        <v>45645</v>
      </c>
      <c r="S887" t="s">
        <v>2925</v>
      </c>
    </row>
    <row r="888" spans="1:19" x14ac:dyDescent="0.3">
      <c r="A888" s="1">
        <v>45056</v>
      </c>
      <c r="B888" t="s">
        <v>22</v>
      </c>
      <c r="C888" t="s">
        <v>29</v>
      </c>
      <c r="D888">
        <v>11</v>
      </c>
      <c r="E888">
        <v>529.20000000000005</v>
      </c>
      <c r="F888" t="s">
        <v>32</v>
      </c>
      <c r="G888" t="s">
        <v>35</v>
      </c>
      <c r="H888">
        <v>0.05</v>
      </c>
      <c r="I888" t="s">
        <v>42</v>
      </c>
      <c r="J888">
        <v>5530.14</v>
      </c>
      <c r="K888" t="s">
        <v>45</v>
      </c>
      <c r="L888" t="s">
        <v>2927</v>
      </c>
      <c r="M888">
        <v>1</v>
      </c>
      <c r="N888" t="s">
        <v>937</v>
      </c>
      <c r="O888" t="s">
        <v>2392</v>
      </c>
      <c r="P888">
        <v>16.78</v>
      </c>
      <c r="Q888" s="1">
        <v>45056</v>
      </c>
      <c r="R888" s="1">
        <v>45066</v>
      </c>
      <c r="S888" t="s">
        <v>2925</v>
      </c>
    </row>
    <row r="889" spans="1:19" x14ac:dyDescent="0.3">
      <c r="A889" s="1">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1">
        <v>45217</v>
      </c>
      <c r="R889" s="1">
        <v>45220</v>
      </c>
      <c r="S889" t="s">
        <v>2923</v>
      </c>
    </row>
    <row r="890" spans="1:19" x14ac:dyDescent="0.3">
      <c r="A890" s="1">
        <v>45629</v>
      </c>
      <c r="B890" t="s">
        <v>20</v>
      </c>
      <c r="C890" t="s">
        <v>25</v>
      </c>
      <c r="D890">
        <v>1</v>
      </c>
      <c r="E890">
        <v>152.75</v>
      </c>
      <c r="F890" t="s">
        <v>32</v>
      </c>
      <c r="G890" t="s">
        <v>35</v>
      </c>
      <c r="H890">
        <v>0</v>
      </c>
      <c r="I890" t="s">
        <v>42</v>
      </c>
      <c r="J890">
        <v>152.75</v>
      </c>
      <c r="K890" t="s">
        <v>45</v>
      </c>
      <c r="L890" t="s">
        <v>48</v>
      </c>
      <c r="M890">
        <v>1</v>
      </c>
      <c r="N890" t="s">
        <v>939</v>
      </c>
      <c r="O890" t="s">
        <v>2394</v>
      </c>
      <c r="P890">
        <v>9.61</v>
      </c>
      <c r="Q890" s="1">
        <v>45629</v>
      </c>
      <c r="R890" s="1">
        <v>45632</v>
      </c>
      <c r="S890" t="s">
        <v>2923</v>
      </c>
    </row>
    <row r="891" spans="1:19" x14ac:dyDescent="0.3">
      <c r="A891" s="1">
        <v>45575</v>
      </c>
      <c r="B891" t="s">
        <v>20</v>
      </c>
      <c r="C891" t="s">
        <v>27</v>
      </c>
      <c r="D891">
        <v>8</v>
      </c>
      <c r="E891">
        <v>72.48</v>
      </c>
      <c r="F891" t="s">
        <v>32</v>
      </c>
      <c r="G891" t="s">
        <v>35</v>
      </c>
      <c r="H891">
        <v>0.1</v>
      </c>
      <c r="I891" t="s">
        <v>40</v>
      </c>
      <c r="J891">
        <v>521.85599999999999</v>
      </c>
      <c r="K891" t="s">
        <v>46</v>
      </c>
      <c r="L891" t="s">
        <v>2927</v>
      </c>
      <c r="M891">
        <v>1</v>
      </c>
      <c r="N891" t="s">
        <v>940</v>
      </c>
      <c r="O891" t="s">
        <v>2395</v>
      </c>
      <c r="P891">
        <v>26.92</v>
      </c>
      <c r="Q891" s="1">
        <v>45575</v>
      </c>
      <c r="R891" s="1">
        <v>45582</v>
      </c>
      <c r="S891" t="s">
        <v>2923</v>
      </c>
    </row>
    <row r="892" spans="1:19" x14ac:dyDescent="0.3">
      <c r="A892" s="1">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1">
        <v>45446</v>
      </c>
      <c r="R892" s="1">
        <v>45450</v>
      </c>
      <c r="S892" t="s">
        <v>2922</v>
      </c>
    </row>
    <row r="893" spans="1:19" x14ac:dyDescent="0.3">
      <c r="A893" s="1">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1">
        <v>45742</v>
      </c>
      <c r="R893" s="1">
        <v>45745</v>
      </c>
      <c r="S893" t="s">
        <v>2923</v>
      </c>
    </row>
    <row r="894" spans="1:19" x14ac:dyDescent="0.3">
      <c r="A894" s="1">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1">
        <v>45408</v>
      </c>
      <c r="R894" s="1">
        <v>45413</v>
      </c>
      <c r="S894" t="s">
        <v>2924</v>
      </c>
    </row>
    <row r="895" spans="1:19" x14ac:dyDescent="0.3">
      <c r="A895" s="1">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1">
        <v>45051</v>
      </c>
      <c r="R895" s="1">
        <v>45059</v>
      </c>
      <c r="S895" t="s">
        <v>2926</v>
      </c>
    </row>
    <row r="896" spans="1:19" x14ac:dyDescent="0.3">
      <c r="A896" s="1">
        <v>45192</v>
      </c>
      <c r="B896" t="s">
        <v>23</v>
      </c>
      <c r="C896" t="s">
        <v>26</v>
      </c>
      <c r="D896">
        <v>7</v>
      </c>
      <c r="E896">
        <v>41.57</v>
      </c>
      <c r="F896" t="s">
        <v>34</v>
      </c>
      <c r="G896" t="s">
        <v>36</v>
      </c>
      <c r="H896">
        <v>0</v>
      </c>
      <c r="I896" t="s">
        <v>40</v>
      </c>
      <c r="J896">
        <v>290.99</v>
      </c>
      <c r="K896" t="s">
        <v>43</v>
      </c>
      <c r="L896" t="s">
        <v>2927</v>
      </c>
      <c r="M896">
        <v>0</v>
      </c>
      <c r="N896" t="s">
        <v>945</v>
      </c>
      <c r="O896" t="s">
        <v>2400</v>
      </c>
      <c r="P896">
        <v>16.59</v>
      </c>
      <c r="Q896" s="1">
        <v>45192</v>
      </c>
      <c r="R896" s="1">
        <v>45198</v>
      </c>
      <c r="S896" t="s">
        <v>2926</v>
      </c>
    </row>
    <row r="897" spans="1:19" x14ac:dyDescent="0.3">
      <c r="A897" s="1">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1">
        <v>45724</v>
      </c>
      <c r="R897" s="1">
        <v>45731</v>
      </c>
      <c r="S897" t="s">
        <v>2923</v>
      </c>
    </row>
    <row r="898" spans="1:19" x14ac:dyDescent="0.3">
      <c r="A898" s="1">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1">
        <v>44943</v>
      </c>
      <c r="R898" s="1">
        <v>44953</v>
      </c>
      <c r="S898" t="s">
        <v>2924</v>
      </c>
    </row>
    <row r="899" spans="1:19" x14ac:dyDescent="0.3">
      <c r="A899" s="1">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1">
        <v>45045</v>
      </c>
      <c r="R899" s="1">
        <v>45047</v>
      </c>
      <c r="S899" t="s">
        <v>2925</v>
      </c>
    </row>
    <row r="900" spans="1:19" x14ac:dyDescent="0.3">
      <c r="A900" s="1">
        <v>45704</v>
      </c>
      <c r="B900" t="s">
        <v>20</v>
      </c>
      <c r="C900" t="s">
        <v>30</v>
      </c>
      <c r="D900">
        <v>18</v>
      </c>
      <c r="E900">
        <v>204.58</v>
      </c>
      <c r="F900" t="s">
        <v>33</v>
      </c>
      <c r="G900" t="s">
        <v>36</v>
      </c>
      <c r="H900">
        <v>0.1</v>
      </c>
      <c r="I900" t="s">
        <v>41</v>
      </c>
      <c r="J900">
        <v>3314.1959999999999</v>
      </c>
      <c r="K900" t="s">
        <v>47</v>
      </c>
      <c r="L900" t="s">
        <v>2927</v>
      </c>
      <c r="M900">
        <v>0</v>
      </c>
      <c r="N900" t="s">
        <v>949</v>
      </c>
      <c r="O900" t="s">
        <v>2404</v>
      </c>
      <c r="P900">
        <v>16.04</v>
      </c>
      <c r="Q900" s="1">
        <v>45704</v>
      </c>
      <c r="R900" s="1">
        <v>45710</v>
      </c>
      <c r="S900" t="s">
        <v>2923</v>
      </c>
    </row>
    <row r="901" spans="1:19" x14ac:dyDescent="0.3">
      <c r="A901" s="1">
        <v>45082</v>
      </c>
      <c r="B901" t="s">
        <v>19</v>
      </c>
      <c r="C901" t="s">
        <v>30</v>
      </c>
      <c r="D901">
        <v>15</v>
      </c>
      <c r="E901">
        <v>324.58</v>
      </c>
      <c r="F901" t="s">
        <v>32</v>
      </c>
      <c r="G901" t="s">
        <v>36</v>
      </c>
      <c r="H901">
        <v>0.15</v>
      </c>
      <c r="I901" t="s">
        <v>41</v>
      </c>
      <c r="J901">
        <v>4138.3950000000004</v>
      </c>
      <c r="K901" t="s">
        <v>46</v>
      </c>
      <c r="L901" t="s">
        <v>2927</v>
      </c>
      <c r="M901">
        <v>0</v>
      </c>
      <c r="N901" t="s">
        <v>950</v>
      </c>
      <c r="O901" t="s">
        <v>2405</v>
      </c>
      <c r="P901">
        <v>24.57</v>
      </c>
      <c r="Q901" s="1">
        <v>45082</v>
      </c>
      <c r="R901" s="1">
        <v>45086</v>
      </c>
      <c r="S901" t="s">
        <v>2922</v>
      </c>
    </row>
    <row r="902" spans="1:19" x14ac:dyDescent="0.3">
      <c r="A902" s="1">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1">
        <v>45166</v>
      </c>
      <c r="R902" s="1">
        <v>45175</v>
      </c>
      <c r="S902" t="s">
        <v>2923</v>
      </c>
    </row>
    <row r="903" spans="1:19" x14ac:dyDescent="0.3">
      <c r="A903" s="1">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1">
        <v>45139</v>
      </c>
      <c r="R903" s="1">
        <v>45148</v>
      </c>
      <c r="S903" t="s">
        <v>2924</v>
      </c>
    </row>
    <row r="904" spans="1:19" x14ac:dyDescent="0.3">
      <c r="A904" s="1">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1">
        <v>45700</v>
      </c>
      <c r="R904" s="1">
        <v>45708</v>
      </c>
      <c r="S904" t="s">
        <v>2926</v>
      </c>
    </row>
    <row r="905" spans="1:19" x14ac:dyDescent="0.3">
      <c r="A905" s="1">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1">
        <v>45110</v>
      </c>
      <c r="R905" s="1">
        <v>45113</v>
      </c>
      <c r="S905" t="s">
        <v>2925</v>
      </c>
    </row>
    <row r="906" spans="1:19" x14ac:dyDescent="0.3">
      <c r="A906" s="1">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1">
        <v>45786</v>
      </c>
      <c r="R906" s="1">
        <v>45790</v>
      </c>
      <c r="S906" t="s">
        <v>2925</v>
      </c>
    </row>
    <row r="907" spans="1:19" x14ac:dyDescent="0.3">
      <c r="A907" s="1">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1">
        <v>45417</v>
      </c>
      <c r="R907" s="1">
        <v>45426</v>
      </c>
      <c r="S907" t="s">
        <v>2926</v>
      </c>
    </row>
    <row r="908" spans="1:19" x14ac:dyDescent="0.3">
      <c r="A908" s="1">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1">
        <v>45299</v>
      </c>
      <c r="R908" s="1">
        <v>45306</v>
      </c>
      <c r="S908" t="s">
        <v>2923</v>
      </c>
    </row>
    <row r="909" spans="1:19" x14ac:dyDescent="0.3">
      <c r="A909" s="1">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1">
        <v>45670</v>
      </c>
      <c r="R909" s="1">
        <v>45674</v>
      </c>
      <c r="S909" t="s">
        <v>2923</v>
      </c>
    </row>
    <row r="910" spans="1:19" x14ac:dyDescent="0.3">
      <c r="A910" s="1">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1">
        <v>45820</v>
      </c>
      <c r="R910" s="1">
        <v>45826</v>
      </c>
      <c r="S910" t="s">
        <v>2922</v>
      </c>
    </row>
    <row r="911" spans="1:19" x14ac:dyDescent="0.3">
      <c r="A911" s="1">
        <v>45750</v>
      </c>
      <c r="B911" t="s">
        <v>21</v>
      </c>
      <c r="C911" t="s">
        <v>24</v>
      </c>
      <c r="D911">
        <v>12</v>
      </c>
      <c r="E911">
        <v>276.42</v>
      </c>
      <c r="F911" t="s">
        <v>33</v>
      </c>
      <c r="G911" t="s">
        <v>36</v>
      </c>
      <c r="H911">
        <v>0.15</v>
      </c>
      <c r="I911" t="s">
        <v>40</v>
      </c>
      <c r="J911">
        <v>2819.4839999999999</v>
      </c>
      <c r="K911" t="s">
        <v>43</v>
      </c>
      <c r="L911" t="s">
        <v>2927</v>
      </c>
      <c r="M911">
        <v>0</v>
      </c>
      <c r="N911" t="s">
        <v>960</v>
      </c>
      <c r="O911" t="s">
        <v>2414</v>
      </c>
      <c r="P911">
        <v>30.57</v>
      </c>
      <c r="Q911" s="1">
        <v>45750</v>
      </c>
      <c r="R911" s="1">
        <v>45759</v>
      </c>
      <c r="S911" t="s">
        <v>2924</v>
      </c>
    </row>
    <row r="912" spans="1:19" x14ac:dyDescent="0.3">
      <c r="A912" s="1">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1">
        <v>44952</v>
      </c>
      <c r="R912" s="1">
        <v>44956</v>
      </c>
      <c r="S912" t="s">
        <v>2925</v>
      </c>
    </row>
    <row r="913" spans="1:19" x14ac:dyDescent="0.3">
      <c r="A913" s="1">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1">
        <v>44933</v>
      </c>
      <c r="R913" s="1">
        <v>44937</v>
      </c>
      <c r="S913" t="s">
        <v>2925</v>
      </c>
    </row>
    <row r="914" spans="1:19" x14ac:dyDescent="0.3">
      <c r="A914" s="1">
        <v>45672</v>
      </c>
      <c r="B914" t="s">
        <v>21</v>
      </c>
      <c r="C914" t="s">
        <v>26</v>
      </c>
      <c r="D914">
        <v>18</v>
      </c>
      <c r="E914">
        <v>375.83</v>
      </c>
      <c r="F914" t="s">
        <v>33</v>
      </c>
      <c r="G914" t="s">
        <v>36</v>
      </c>
      <c r="H914">
        <v>0.1</v>
      </c>
      <c r="I914" t="s">
        <v>40</v>
      </c>
      <c r="J914">
        <v>6088.4459999999999</v>
      </c>
      <c r="K914" t="s">
        <v>44</v>
      </c>
      <c r="L914" t="s">
        <v>2927</v>
      </c>
      <c r="M914">
        <v>0</v>
      </c>
      <c r="N914" t="s">
        <v>963</v>
      </c>
      <c r="O914" t="s">
        <v>2417</v>
      </c>
      <c r="P914">
        <v>15.13</v>
      </c>
      <c r="Q914" s="1">
        <v>45672</v>
      </c>
      <c r="R914" s="1">
        <v>45680</v>
      </c>
      <c r="S914" t="s">
        <v>2924</v>
      </c>
    </row>
    <row r="915" spans="1:19" x14ac:dyDescent="0.3">
      <c r="A915" s="1">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1">
        <v>45626</v>
      </c>
      <c r="R915" s="1">
        <v>45631</v>
      </c>
      <c r="S915" t="s">
        <v>2922</v>
      </c>
    </row>
    <row r="916" spans="1:19" x14ac:dyDescent="0.3">
      <c r="A916" s="1">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1">
        <v>45348</v>
      </c>
      <c r="R916" s="1">
        <v>45358</v>
      </c>
      <c r="S916" t="s">
        <v>2922</v>
      </c>
    </row>
    <row r="917" spans="1:19" x14ac:dyDescent="0.3">
      <c r="A917" s="1">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1">
        <v>45819</v>
      </c>
      <c r="R917" s="1">
        <v>45823</v>
      </c>
      <c r="S917" t="s">
        <v>2924</v>
      </c>
    </row>
    <row r="918" spans="1:19" x14ac:dyDescent="0.3">
      <c r="A918" s="1">
        <v>45259</v>
      </c>
      <c r="B918" t="s">
        <v>22</v>
      </c>
      <c r="C918" t="s">
        <v>25</v>
      </c>
      <c r="D918">
        <v>11</v>
      </c>
      <c r="E918">
        <v>267.91000000000003</v>
      </c>
      <c r="F918" t="s">
        <v>31</v>
      </c>
      <c r="G918" t="s">
        <v>36</v>
      </c>
      <c r="H918">
        <v>0</v>
      </c>
      <c r="I918" t="s">
        <v>37</v>
      </c>
      <c r="J918">
        <v>2947.01</v>
      </c>
      <c r="K918" t="s">
        <v>46</v>
      </c>
      <c r="L918" t="s">
        <v>2927</v>
      </c>
      <c r="M918">
        <v>0</v>
      </c>
      <c r="N918" t="s">
        <v>967</v>
      </c>
      <c r="O918" t="s">
        <v>2421</v>
      </c>
      <c r="P918">
        <v>12.05</v>
      </c>
      <c r="Q918" s="1">
        <v>45259</v>
      </c>
      <c r="R918" s="1">
        <v>45264</v>
      </c>
      <c r="S918" t="s">
        <v>2925</v>
      </c>
    </row>
    <row r="919" spans="1:19" x14ac:dyDescent="0.3">
      <c r="A919" s="1">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1">
        <v>45470</v>
      </c>
      <c r="R919" s="1">
        <v>45478</v>
      </c>
      <c r="S919" t="s">
        <v>2923</v>
      </c>
    </row>
    <row r="920" spans="1:19" x14ac:dyDescent="0.3">
      <c r="A920" s="1">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1">
        <v>45432</v>
      </c>
      <c r="R920" s="1">
        <v>45439</v>
      </c>
      <c r="S920" t="s">
        <v>2923</v>
      </c>
    </row>
    <row r="921" spans="1:19" x14ac:dyDescent="0.3">
      <c r="A921" s="1">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1">
        <v>45094</v>
      </c>
      <c r="R921" s="1">
        <v>45099</v>
      </c>
      <c r="S921" t="s">
        <v>2926</v>
      </c>
    </row>
    <row r="922" spans="1:19" x14ac:dyDescent="0.3">
      <c r="A922" s="1">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1">
        <v>45602</v>
      </c>
      <c r="R922" s="1">
        <v>45609</v>
      </c>
      <c r="S922" t="s">
        <v>2922</v>
      </c>
    </row>
    <row r="923" spans="1:19" x14ac:dyDescent="0.3">
      <c r="A923" s="1">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1">
        <v>45700</v>
      </c>
      <c r="R923" s="1">
        <v>45708</v>
      </c>
      <c r="S923" t="s">
        <v>2924</v>
      </c>
    </row>
    <row r="924" spans="1:19" x14ac:dyDescent="0.3">
      <c r="A924" s="1">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1">
        <v>45756</v>
      </c>
      <c r="R924" s="1">
        <v>45761</v>
      </c>
      <c r="S924" t="s">
        <v>2924</v>
      </c>
    </row>
    <row r="925" spans="1:19" x14ac:dyDescent="0.3">
      <c r="A925" s="1">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1">
        <v>45522</v>
      </c>
      <c r="R925" s="1">
        <v>45530</v>
      </c>
      <c r="S925" t="s">
        <v>2924</v>
      </c>
    </row>
    <row r="926" spans="1:19" x14ac:dyDescent="0.3">
      <c r="A926" s="1">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1">
        <v>44977</v>
      </c>
      <c r="R926" s="1">
        <v>44980</v>
      </c>
      <c r="S926" t="s">
        <v>2925</v>
      </c>
    </row>
    <row r="927" spans="1:19" x14ac:dyDescent="0.3">
      <c r="A927" s="1">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1">
        <v>45775</v>
      </c>
      <c r="R927" s="1">
        <v>45785</v>
      </c>
      <c r="S927" t="s">
        <v>2924</v>
      </c>
    </row>
    <row r="928" spans="1:19" x14ac:dyDescent="0.3">
      <c r="A928" s="1">
        <v>45148</v>
      </c>
      <c r="B928" t="s">
        <v>22</v>
      </c>
      <c r="C928" t="s">
        <v>30</v>
      </c>
      <c r="D928">
        <v>3</v>
      </c>
      <c r="E928">
        <v>59.78</v>
      </c>
      <c r="F928" t="s">
        <v>33</v>
      </c>
      <c r="G928" t="s">
        <v>36</v>
      </c>
      <c r="H928">
        <v>0</v>
      </c>
      <c r="I928" t="s">
        <v>37</v>
      </c>
      <c r="J928">
        <v>179.34</v>
      </c>
      <c r="K928" t="s">
        <v>43</v>
      </c>
      <c r="L928" t="s">
        <v>49</v>
      </c>
      <c r="M928">
        <v>0</v>
      </c>
      <c r="N928" t="s">
        <v>977</v>
      </c>
      <c r="O928" t="s">
        <v>2429</v>
      </c>
      <c r="P928">
        <v>46.98</v>
      </c>
      <c r="Q928" s="1">
        <v>45148</v>
      </c>
      <c r="R928" s="1">
        <v>45151</v>
      </c>
      <c r="S928" t="s">
        <v>2925</v>
      </c>
    </row>
    <row r="929" spans="1:19" x14ac:dyDescent="0.3">
      <c r="A929" s="1">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1">
        <v>45467</v>
      </c>
      <c r="R929" s="1">
        <v>45472</v>
      </c>
      <c r="S929" t="s">
        <v>2924</v>
      </c>
    </row>
    <row r="930" spans="1:19" x14ac:dyDescent="0.3">
      <c r="A930" s="1">
        <v>45144</v>
      </c>
      <c r="B930" t="s">
        <v>22</v>
      </c>
      <c r="C930" t="s">
        <v>30</v>
      </c>
      <c r="D930">
        <v>13</v>
      </c>
      <c r="E930">
        <v>69.97</v>
      </c>
      <c r="F930" t="s">
        <v>32</v>
      </c>
      <c r="G930" t="s">
        <v>35</v>
      </c>
      <c r="H930">
        <v>0.05</v>
      </c>
      <c r="I930" t="s">
        <v>38</v>
      </c>
      <c r="J930">
        <v>864.12950000000001</v>
      </c>
      <c r="K930" t="s">
        <v>46</v>
      </c>
      <c r="L930" t="s">
        <v>2927</v>
      </c>
      <c r="M930">
        <v>0</v>
      </c>
      <c r="N930" t="s">
        <v>979</v>
      </c>
      <c r="O930" t="s">
        <v>2431</v>
      </c>
      <c r="P930">
        <v>27.66</v>
      </c>
      <c r="Q930" s="1">
        <v>45144</v>
      </c>
      <c r="R930" s="1">
        <v>45150</v>
      </c>
      <c r="S930" t="s">
        <v>2925</v>
      </c>
    </row>
    <row r="931" spans="1:19" x14ac:dyDescent="0.3">
      <c r="A931" s="1">
        <v>45622</v>
      </c>
      <c r="B931" t="s">
        <v>19</v>
      </c>
      <c r="C931" t="s">
        <v>29</v>
      </c>
      <c r="D931">
        <v>7</v>
      </c>
      <c r="E931">
        <v>438.33</v>
      </c>
      <c r="F931" t="s">
        <v>33</v>
      </c>
      <c r="G931" t="s">
        <v>36</v>
      </c>
      <c r="H931">
        <v>0.1</v>
      </c>
      <c r="I931" t="s">
        <v>39</v>
      </c>
      <c r="J931">
        <v>2761.4789999999998</v>
      </c>
      <c r="K931" t="s">
        <v>47</v>
      </c>
      <c r="L931" t="s">
        <v>2927</v>
      </c>
      <c r="M931">
        <v>1</v>
      </c>
      <c r="N931" t="s">
        <v>980</v>
      </c>
      <c r="O931" t="s">
        <v>2100</v>
      </c>
      <c r="P931">
        <v>11.57</v>
      </c>
      <c r="Q931" s="1">
        <v>45622</v>
      </c>
      <c r="R931" s="1">
        <v>45626</v>
      </c>
      <c r="S931" t="s">
        <v>2922</v>
      </c>
    </row>
    <row r="932" spans="1:19" x14ac:dyDescent="0.3">
      <c r="A932" s="1">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1">
        <v>45694</v>
      </c>
      <c r="R932" s="1">
        <v>45698</v>
      </c>
      <c r="S932" t="s">
        <v>2922</v>
      </c>
    </row>
    <row r="933" spans="1:19" x14ac:dyDescent="0.3">
      <c r="A933" s="1">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1">
        <v>45736</v>
      </c>
      <c r="R933" s="1">
        <v>45742</v>
      </c>
      <c r="S933" t="s">
        <v>2922</v>
      </c>
    </row>
    <row r="934" spans="1:19" x14ac:dyDescent="0.3">
      <c r="A934" s="1">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1">
        <v>45545</v>
      </c>
      <c r="R934" s="1">
        <v>45547</v>
      </c>
      <c r="S934" t="s">
        <v>2923</v>
      </c>
    </row>
    <row r="935" spans="1:19" x14ac:dyDescent="0.3">
      <c r="A935" s="1">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1">
        <v>45708</v>
      </c>
      <c r="R935" s="1">
        <v>45718</v>
      </c>
      <c r="S935" t="s">
        <v>2923</v>
      </c>
    </row>
    <row r="936" spans="1:19" x14ac:dyDescent="0.3">
      <c r="A936" s="1">
        <v>44946</v>
      </c>
      <c r="B936" t="s">
        <v>19</v>
      </c>
      <c r="C936" t="s">
        <v>27</v>
      </c>
      <c r="D936">
        <v>15</v>
      </c>
      <c r="E936">
        <v>462.85</v>
      </c>
      <c r="F936" t="s">
        <v>32</v>
      </c>
      <c r="G936" t="s">
        <v>36</v>
      </c>
      <c r="H936">
        <v>0.15</v>
      </c>
      <c r="I936" t="s">
        <v>41</v>
      </c>
      <c r="J936">
        <v>5901.3374999999996</v>
      </c>
      <c r="K936" t="s">
        <v>45</v>
      </c>
      <c r="L936" t="s">
        <v>2927</v>
      </c>
      <c r="M936">
        <v>0</v>
      </c>
      <c r="N936" t="s">
        <v>985</v>
      </c>
      <c r="O936" t="s">
        <v>2436</v>
      </c>
      <c r="P936">
        <v>46.12</v>
      </c>
      <c r="Q936" s="1">
        <v>44946</v>
      </c>
      <c r="R936" s="1">
        <v>44952</v>
      </c>
      <c r="S936" t="s">
        <v>2922</v>
      </c>
    </row>
    <row r="937" spans="1:19" x14ac:dyDescent="0.3">
      <c r="A937" s="1">
        <v>45354</v>
      </c>
      <c r="B937" t="s">
        <v>19</v>
      </c>
      <c r="C937" t="s">
        <v>24</v>
      </c>
      <c r="D937">
        <v>1</v>
      </c>
      <c r="E937">
        <v>176.17</v>
      </c>
      <c r="F937" t="s">
        <v>33</v>
      </c>
      <c r="G937" t="s">
        <v>36</v>
      </c>
      <c r="H937">
        <v>0.05</v>
      </c>
      <c r="I937" t="s">
        <v>38</v>
      </c>
      <c r="J937">
        <v>167.36150000000001</v>
      </c>
      <c r="K937" t="s">
        <v>46</v>
      </c>
      <c r="L937" t="s">
        <v>2927</v>
      </c>
      <c r="M937">
        <v>1</v>
      </c>
      <c r="N937" t="s">
        <v>986</v>
      </c>
      <c r="O937" t="s">
        <v>2437</v>
      </c>
      <c r="P937">
        <v>35.770000000000003</v>
      </c>
      <c r="Q937" s="1">
        <v>45354</v>
      </c>
      <c r="R937" s="1">
        <v>45357</v>
      </c>
      <c r="S937" t="s">
        <v>2922</v>
      </c>
    </row>
    <row r="938" spans="1:19" x14ac:dyDescent="0.3">
      <c r="A938" s="1">
        <v>45257</v>
      </c>
      <c r="B938" t="s">
        <v>23</v>
      </c>
      <c r="C938" t="s">
        <v>30</v>
      </c>
      <c r="D938">
        <v>1</v>
      </c>
      <c r="E938">
        <v>71.239999999999995</v>
      </c>
      <c r="F938" t="s">
        <v>32</v>
      </c>
      <c r="G938" t="s">
        <v>36</v>
      </c>
      <c r="H938">
        <v>0.1</v>
      </c>
      <c r="I938" t="s">
        <v>40</v>
      </c>
      <c r="J938">
        <v>64.116</v>
      </c>
      <c r="K938" t="s">
        <v>46</v>
      </c>
      <c r="L938" t="s">
        <v>2927</v>
      </c>
      <c r="M938">
        <v>1</v>
      </c>
      <c r="N938" t="s">
        <v>987</v>
      </c>
      <c r="O938" t="s">
        <v>2438</v>
      </c>
      <c r="P938">
        <v>43.69</v>
      </c>
      <c r="Q938" s="1">
        <v>45257</v>
      </c>
      <c r="R938" s="1">
        <v>45263</v>
      </c>
      <c r="S938" t="s">
        <v>2926</v>
      </c>
    </row>
    <row r="939" spans="1:19" x14ac:dyDescent="0.3">
      <c r="A939" s="1">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1">
        <v>45606</v>
      </c>
      <c r="R939" s="1">
        <v>45614</v>
      </c>
      <c r="S939" t="s">
        <v>2922</v>
      </c>
    </row>
    <row r="940" spans="1:19" x14ac:dyDescent="0.3">
      <c r="A940" s="1">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1">
        <v>45692</v>
      </c>
      <c r="R940" s="1">
        <v>45696</v>
      </c>
      <c r="S940" t="s">
        <v>2925</v>
      </c>
    </row>
    <row r="941" spans="1:19" x14ac:dyDescent="0.3">
      <c r="A941" s="1">
        <v>45343</v>
      </c>
      <c r="B941" t="s">
        <v>19</v>
      </c>
      <c r="C941" t="s">
        <v>26</v>
      </c>
      <c r="D941">
        <v>5</v>
      </c>
      <c r="E941">
        <v>34.06</v>
      </c>
      <c r="F941" t="s">
        <v>34</v>
      </c>
      <c r="G941" t="s">
        <v>35</v>
      </c>
      <c r="H941">
        <v>0.05</v>
      </c>
      <c r="I941" t="s">
        <v>41</v>
      </c>
      <c r="J941">
        <v>161.785</v>
      </c>
      <c r="K941" t="s">
        <v>44</v>
      </c>
      <c r="L941" t="s">
        <v>2927</v>
      </c>
      <c r="M941">
        <v>0</v>
      </c>
      <c r="N941" t="s">
        <v>990</v>
      </c>
      <c r="O941" t="s">
        <v>2441</v>
      </c>
      <c r="P941">
        <v>19.72</v>
      </c>
      <c r="Q941" s="1">
        <v>45343</v>
      </c>
      <c r="R941" s="1">
        <v>45353</v>
      </c>
      <c r="S941" t="s">
        <v>2922</v>
      </c>
    </row>
    <row r="942" spans="1:19" x14ac:dyDescent="0.3">
      <c r="A942" s="1">
        <v>45009</v>
      </c>
      <c r="B942" t="s">
        <v>19</v>
      </c>
      <c r="C942" t="s">
        <v>26</v>
      </c>
      <c r="D942">
        <v>17</v>
      </c>
      <c r="E942">
        <v>502.6</v>
      </c>
      <c r="F942" t="s">
        <v>32</v>
      </c>
      <c r="G942" t="s">
        <v>35</v>
      </c>
      <c r="H942">
        <v>0.1</v>
      </c>
      <c r="I942" t="s">
        <v>39</v>
      </c>
      <c r="J942">
        <v>7689.7800000000007</v>
      </c>
      <c r="K942" t="s">
        <v>47</v>
      </c>
      <c r="L942" t="s">
        <v>2927</v>
      </c>
      <c r="M942">
        <v>0</v>
      </c>
      <c r="N942" t="s">
        <v>991</v>
      </c>
      <c r="O942" t="s">
        <v>2442</v>
      </c>
      <c r="P942">
        <v>15.38</v>
      </c>
      <c r="Q942" s="1">
        <v>45009</v>
      </c>
      <c r="R942" s="1">
        <v>45014</v>
      </c>
      <c r="S942" t="s">
        <v>2922</v>
      </c>
    </row>
    <row r="943" spans="1:19" x14ac:dyDescent="0.3">
      <c r="A943" s="1">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1">
        <v>45417</v>
      </c>
      <c r="R943" s="1">
        <v>45425</v>
      </c>
      <c r="S943" t="s">
        <v>2923</v>
      </c>
    </row>
    <row r="944" spans="1:19" x14ac:dyDescent="0.3">
      <c r="A944" s="1">
        <v>45569</v>
      </c>
      <c r="B944" t="s">
        <v>20</v>
      </c>
      <c r="C944" t="s">
        <v>24</v>
      </c>
      <c r="D944">
        <v>18</v>
      </c>
      <c r="E944">
        <v>403.53</v>
      </c>
      <c r="F944" t="s">
        <v>34</v>
      </c>
      <c r="G944" t="s">
        <v>35</v>
      </c>
      <c r="H944">
        <v>0.1</v>
      </c>
      <c r="I944" t="s">
        <v>38</v>
      </c>
      <c r="J944">
        <v>6537.1859999999997</v>
      </c>
      <c r="K944" t="s">
        <v>43</v>
      </c>
      <c r="L944" t="s">
        <v>2927</v>
      </c>
      <c r="M944">
        <v>0</v>
      </c>
      <c r="N944" t="s">
        <v>993</v>
      </c>
      <c r="O944" t="s">
        <v>2444</v>
      </c>
      <c r="P944">
        <v>35.729999999999997</v>
      </c>
      <c r="Q944" s="1">
        <v>45569</v>
      </c>
      <c r="R944" s="1">
        <v>45572</v>
      </c>
      <c r="S944" t="s">
        <v>2923</v>
      </c>
    </row>
    <row r="945" spans="1:19" x14ac:dyDescent="0.3">
      <c r="A945" s="1">
        <v>45661</v>
      </c>
      <c r="B945" t="s">
        <v>20</v>
      </c>
      <c r="C945" t="s">
        <v>27</v>
      </c>
      <c r="D945">
        <v>2</v>
      </c>
      <c r="E945">
        <v>194.97</v>
      </c>
      <c r="F945" t="s">
        <v>32</v>
      </c>
      <c r="G945" t="s">
        <v>36</v>
      </c>
      <c r="H945">
        <v>0</v>
      </c>
      <c r="I945" t="s">
        <v>41</v>
      </c>
      <c r="J945">
        <v>389.94</v>
      </c>
      <c r="K945" t="s">
        <v>45</v>
      </c>
      <c r="L945" t="s">
        <v>49</v>
      </c>
      <c r="M945">
        <v>0</v>
      </c>
      <c r="N945" t="s">
        <v>994</v>
      </c>
      <c r="O945" t="s">
        <v>1932</v>
      </c>
      <c r="P945">
        <v>9.89</v>
      </c>
      <c r="Q945" s="1">
        <v>45661</v>
      </c>
      <c r="R945" s="1">
        <v>45671</v>
      </c>
      <c r="S945" t="s">
        <v>2923</v>
      </c>
    </row>
    <row r="946" spans="1:19" x14ac:dyDescent="0.3">
      <c r="A946" s="1">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1">
        <v>45649</v>
      </c>
      <c r="R946" s="1">
        <v>45659</v>
      </c>
      <c r="S946" t="s">
        <v>2925</v>
      </c>
    </row>
    <row r="947" spans="1:19" x14ac:dyDescent="0.3">
      <c r="A947" s="1">
        <v>44955</v>
      </c>
      <c r="B947" t="s">
        <v>22</v>
      </c>
      <c r="C947" t="s">
        <v>24</v>
      </c>
      <c r="D947">
        <v>17</v>
      </c>
      <c r="E947">
        <v>535.88</v>
      </c>
      <c r="F947" t="s">
        <v>32</v>
      </c>
      <c r="G947" t="s">
        <v>35</v>
      </c>
      <c r="H947">
        <v>0.05</v>
      </c>
      <c r="I947" t="s">
        <v>42</v>
      </c>
      <c r="J947">
        <v>8654.4619999999995</v>
      </c>
      <c r="K947" t="s">
        <v>44</v>
      </c>
      <c r="L947" t="s">
        <v>2927</v>
      </c>
      <c r="M947">
        <v>0</v>
      </c>
      <c r="N947" t="s">
        <v>996</v>
      </c>
      <c r="O947" t="s">
        <v>2446</v>
      </c>
      <c r="P947">
        <v>26.12</v>
      </c>
      <c r="Q947" s="1">
        <v>44955</v>
      </c>
      <c r="R947" s="1">
        <v>44965</v>
      </c>
      <c r="S947" t="s">
        <v>2925</v>
      </c>
    </row>
    <row r="948" spans="1:19" x14ac:dyDescent="0.3">
      <c r="A948" s="1">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1">
        <v>45515</v>
      </c>
      <c r="R948" s="1">
        <v>45521</v>
      </c>
      <c r="S948" t="s">
        <v>2926</v>
      </c>
    </row>
    <row r="949" spans="1:19" x14ac:dyDescent="0.3">
      <c r="A949" s="1">
        <v>45255</v>
      </c>
      <c r="B949" t="s">
        <v>21</v>
      </c>
      <c r="C949" t="s">
        <v>25</v>
      </c>
      <c r="D949">
        <v>2</v>
      </c>
      <c r="E949">
        <v>482.1</v>
      </c>
      <c r="F949" t="s">
        <v>33</v>
      </c>
      <c r="G949" t="s">
        <v>36</v>
      </c>
      <c r="H949">
        <v>0</v>
      </c>
      <c r="I949" t="s">
        <v>40</v>
      </c>
      <c r="J949">
        <v>964.2</v>
      </c>
      <c r="K949" t="s">
        <v>43</v>
      </c>
      <c r="L949" t="s">
        <v>48</v>
      </c>
      <c r="M949">
        <v>0</v>
      </c>
      <c r="N949" t="s">
        <v>998</v>
      </c>
      <c r="O949" t="s">
        <v>2448</v>
      </c>
      <c r="P949">
        <v>45.35</v>
      </c>
      <c r="Q949" s="1">
        <v>45255</v>
      </c>
      <c r="R949" s="1">
        <v>45260</v>
      </c>
      <c r="S949" t="s">
        <v>2924</v>
      </c>
    </row>
    <row r="950" spans="1:19" x14ac:dyDescent="0.3">
      <c r="A950" s="1">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1">
        <v>45720</v>
      </c>
      <c r="R950" s="1">
        <v>45724</v>
      </c>
      <c r="S950" t="s">
        <v>2924</v>
      </c>
    </row>
    <row r="951" spans="1:19" x14ac:dyDescent="0.3">
      <c r="A951" s="1">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1">
        <v>45709</v>
      </c>
      <c r="R951" s="1">
        <v>45717</v>
      </c>
      <c r="S951" t="s">
        <v>2924</v>
      </c>
    </row>
    <row r="952" spans="1:19" x14ac:dyDescent="0.3">
      <c r="A952" s="1">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1">
        <v>45714</v>
      </c>
      <c r="R952" s="1">
        <v>45716</v>
      </c>
      <c r="S952" t="s">
        <v>2922</v>
      </c>
    </row>
    <row r="953" spans="1:19" x14ac:dyDescent="0.3">
      <c r="A953" s="1">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1">
        <v>45380</v>
      </c>
      <c r="R953" s="1">
        <v>45388</v>
      </c>
      <c r="S953" t="s">
        <v>2922</v>
      </c>
    </row>
    <row r="954" spans="1:19" x14ac:dyDescent="0.3">
      <c r="A954" s="1">
        <v>45805</v>
      </c>
      <c r="B954" t="s">
        <v>23</v>
      </c>
      <c r="C954" t="s">
        <v>26</v>
      </c>
      <c r="D954">
        <v>3</v>
      </c>
      <c r="E954">
        <v>470.09</v>
      </c>
      <c r="F954" t="s">
        <v>31</v>
      </c>
      <c r="G954" t="s">
        <v>35</v>
      </c>
      <c r="H954">
        <v>0</v>
      </c>
      <c r="I954" t="s">
        <v>37</v>
      </c>
      <c r="J954">
        <v>1410.27</v>
      </c>
      <c r="K954" t="s">
        <v>44</v>
      </c>
      <c r="L954" t="s">
        <v>2927</v>
      </c>
      <c r="M954">
        <v>0</v>
      </c>
      <c r="N954" t="s">
        <v>1003</v>
      </c>
      <c r="O954" t="s">
        <v>2452</v>
      </c>
      <c r="P954">
        <v>38.29</v>
      </c>
      <c r="Q954" s="1">
        <v>45805</v>
      </c>
      <c r="R954" s="1">
        <v>45809</v>
      </c>
      <c r="S954" t="s">
        <v>2926</v>
      </c>
    </row>
    <row r="955" spans="1:19" x14ac:dyDescent="0.3">
      <c r="A955" s="1">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1">
        <v>45436</v>
      </c>
      <c r="R955" s="1">
        <v>45442</v>
      </c>
      <c r="S955" t="s">
        <v>2926</v>
      </c>
    </row>
    <row r="956" spans="1:19" x14ac:dyDescent="0.3">
      <c r="A956" s="1">
        <v>45058</v>
      </c>
      <c r="B956" t="s">
        <v>20</v>
      </c>
      <c r="C956" t="s">
        <v>27</v>
      </c>
      <c r="D956">
        <v>9</v>
      </c>
      <c r="E956">
        <v>251.43</v>
      </c>
      <c r="F956" t="s">
        <v>33</v>
      </c>
      <c r="G956" t="s">
        <v>36</v>
      </c>
      <c r="H956">
        <v>0.1</v>
      </c>
      <c r="I956" t="s">
        <v>39</v>
      </c>
      <c r="J956">
        <v>2036.5830000000001</v>
      </c>
      <c r="K956" t="s">
        <v>45</v>
      </c>
      <c r="L956" t="s">
        <v>2927</v>
      </c>
      <c r="M956">
        <v>0</v>
      </c>
      <c r="N956" t="s">
        <v>1005</v>
      </c>
      <c r="O956" t="s">
        <v>2454</v>
      </c>
      <c r="P956">
        <v>22.57</v>
      </c>
      <c r="Q956" s="1">
        <v>45058</v>
      </c>
      <c r="R956" s="1">
        <v>45063</v>
      </c>
      <c r="S956" t="s">
        <v>2923</v>
      </c>
    </row>
    <row r="957" spans="1:19" x14ac:dyDescent="0.3">
      <c r="A957" s="1">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1">
        <v>45210</v>
      </c>
      <c r="R957" s="1">
        <v>45214</v>
      </c>
      <c r="S957" t="s">
        <v>2923</v>
      </c>
    </row>
    <row r="958" spans="1:19" x14ac:dyDescent="0.3">
      <c r="A958" s="1">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1">
        <v>45316</v>
      </c>
      <c r="R958" s="1">
        <v>45323</v>
      </c>
      <c r="S958" t="s">
        <v>2924</v>
      </c>
    </row>
    <row r="959" spans="1:19" x14ac:dyDescent="0.3">
      <c r="A959" s="1">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1">
        <v>44960</v>
      </c>
      <c r="R959" s="1">
        <v>44963</v>
      </c>
      <c r="S959" t="s">
        <v>2922</v>
      </c>
    </row>
    <row r="960" spans="1:19" x14ac:dyDescent="0.3">
      <c r="A960" s="1">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1">
        <v>45481</v>
      </c>
      <c r="R960" s="1">
        <v>45487</v>
      </c>
      <c r="S960" t="s">
        <v>2924</v>
      </c>
    </row>
    <row r="961" spans="1:19" x14ac:dyDescent="0.3">
      <c r="A961" s="1">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1">
        <v>45808</v>
      </c>
      <c r="R961" s="1">
        <v>45818</v>
      </c>
      <c r="S961" t="s">
        <v>2923</v>
      </c>
    </row>
    <row r="962" spans="1:19" x14ac:dyDescent="0.3">
      <c r="A962" s="1">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1">
        <v>45239</v>
      </c>
      <c r="R962" s="1">
        <v>45242</v>
      </c>
      <c r="S962" t="s">
        <v>2923</v>
      </c>
    </row>
    <row r="963" spans="1:19" x14ac:dyDescent="0.3">
      <c r="A963" s="1">
        <v>45113</v>
      </c>
      <c r="B963" t="s">
        <v>21</v>
      </c>
      <c r="C963" t="s">
        <v>27</v>
      </c>
      <c r="D963">
        <v>8</v>
      </c>
      <c r="E963">
        <v>419.13</v>
      </c>
      <c r="F963" t="s">
        <v>32</v>
      </c>
      <c r="G963" t="s">
        <v>36</v>
      </c>
      <c r="H963">
        <v>0.1</v>
      </c>
      <c r="I963" t="s">
        <v>38</v>
      </c>
      <c r="J963">
        <v>3017.7359999999999</v>
      </c>
      <c r="K963" t="s">
        <v>43</v>
      </c>
      <c r="L963" t="s">
        <v>2927</v>
      </c>
      <c r="M963">
        <v>1</v>
      </c>
      <c r="N963" t="s">
        <v>1012</v>
      </c>
      <c r="O963" t="s">
        <v>2459</v>
      </c>
      <c r="P963">
        <v>11.02</v>
      </c>
      <c r="Q963" s="1">
        <v>45113</v>
      </c>
      <c r="R963" s="1">
        <v>45117</v>
      </c>
      <c r="S963" t="s">
        <v>2924</v>
      </c>
    </row>
    <row r="964" spans="1:19" x14ac:dyDescent="0.3">
      <c r="A964" s="1">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1">
        <v>45121</v>
      </c>
      <c r="R964" s="1">
        <v>45129</v>
      </c>
      <c r="S964" t="s">
        <v>2924</v>
      </c>
    </row>
    <row r="965" spans="1:19" x14ac:dyDescent="0.3">
      <c r="A965" s="1">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1">
        <v>45243</v>
      </c>
      <c r="R965" s="1">
        <v>45245</v>
      </c>
      <c r="S965" t="s">
        <v>2926</v>
      </c>
    </row>
    <row r="966" spans="1:19" x14ac:dyDescent="0.3">
      <c r="A966" s="1">
        <v>45690</v>
      </c>
      <c r="B966" t="s">
        <v>23</v>
      </c>
      <c r="C966" t="s">
        <v>29</v>
      </c>
      <c r="D966">
        <v>11</v>
      </c>
      <c r="E966">
        <v>155.49</v>
      </c>
      <c r="F966" t="s">
        <v>34</v>
      </c>
      <c r="G966" t="s">
        <v>36</v>
      </c>
      <c r="H966">
        <v>0.05</v>
      </c>
      <c r="I966" t="s">
        <v>39</v>
      </c>
      <c r="J966">
        <v>1624.8705</v>
      </c>
      <c r="K966" t="s">
        <v>47</v>
      </c>
      <c r="L966" t="s">
        <v>2927</v>
      </c>
      <c r="M966">
        <v>0</v>
      </c>
      <c r="N966" t="s">
        <v>1015</v>
      </c>
      <c r="O966" t="s">
        <v>2462</v>
      </c>
      <c r="P966">
        <v>47.01</v>
      </c>
      <c r="Q966" s="1">
        <v>45690</v>
      </c>
      <c r="R966" s="1">
        <v>45700</v>
      </c>
      <c r="S966" t="s">
        <v>2926</v>
      </c>
    </row>
    <row r="967" spans="1:19" x14ac:dyDescent="0.3">
      <c r="A967" s="1">
        <v>45418</v>
      </c>
      <c r="B967" t="s">
        <v>20</v>
      </c>
      <c r="C967" t="s">
        <v>30</v>
      </c>
      <c r="D967">
        <v>20</v>
      </c>
      <c r="E967">
        <v>270.2</v>
      </c>
      <c r="F967" t="s">
        <v>32</v>
      </c>
      <c r="G967" t="s">
        <v>35</v>
      </c>
      <c r="H967">
        <v>0</v>
      </c>
      <c r="I967" t="s">
        <v>41</v>
      </c>
      <c r="J967">
        <v>5404</v>
      </c>
      <c r="K967" t="s">
        <v>45</v>
      </c>
      <c r="L967" t="s">
        <v>50</v>
      </c>
      <c r="M967">
        <v>0</v>
      </c>
      <c r="N967" t="s">
        <v>1016</v>
      </c>
      <c r="O967" t="s">
        <v>2463</v>
      </c>
      <c r="P967">
        <v>6.8</v>
      </c>
      <c r="Q967" s="1">
        <v>45418</v>
      </c>
      <c r="R967" s="1">
        <v>45427</v>
      </c>
      <c r="S967" t="s">
        <v>2923</v>
      </c>
    </row>
    <row r="968" spans="1:19" x14ac:dyDescent="0.3">
      <c r="A968" s="1">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1">
        <v>45582</v>
      </c>
      <c r="R968" s="1">
        <v>45584</v>
      </c>
      <c r="S968" t="s">
        <v>2923</v>
      </c>
    </row>
    <row r="969" spans="1:19" x14ac:dyDescent="0.3">
      <c r="A969" s="1">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1">
        <v>45686</v>
      </c>
      <c r="R969" s="1">
        <v>45693</v>
      </c>
      <c r="S969" t="s">
        <v>2924</v>
      </c>
    </row>
    <row r="970" spans="1:19" x14ac:dyDescent="0.3">
      <c r="A970" s="1">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1">
        <v>45739</v>
      </c>
      <c r="R970" s="1">
        <v>45745</v>
      </c>
      <c r="S970" t="s">
        <v>2925</v>
      </c>
    </row>
    <row r="971" spans="1:19" x14ac:dyDescent="0.3">
      <c r="A971" s="1">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1">
        <v>45393</v>
      </c>
      <c r="R971" s="1">
        <v>45402</v>
      </c>
      <c r="S971" t="s">
        <v>2926</v>
      </c>
    </row>
    <row r="972" spans="1:19" x14ac:dyDescent="0.3">
      <c r="A972" s="1">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1">
        <v>45415</v>
      </c>
      <c r="R972" s="1">
        <v>45424</v>
      </c>
      <c r="S972" t="s">
        <v>2925</v>
      </c>
    </row>
    <row r="973" spans="1:19" x14ac:dyDescent="0.3">
      <c r="A973" s="1">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1">
        <v>45579</v>
      </c>
      <c r="R973" s="1">
        <v>45586</v>
      </c>
      <c r="S973" t="s">
        <v>2922</v>
      </c>
    </row>
    <row r="974" spans="1:19" x14ac:dyDescent="0.3">
      <c r="A974" s="1">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1">
        <v>45330</v>
      </c>
      <c r="R974" s="1">
        <v>45335</v>
      </c>
      <c r="S974" t="s">
        <v>2926</v>
      </c>
    </row>
    <row r="975" spans="1:19" x14ac:dyDescent="0.3">
      <c r="A975" s="1">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1">
        <v>45056</v>
      </c>
      <c r="R975" s="1">
        <v>45059</v>
      </c>
      <c r="S975" t="s">
        <v>2925</v>
      </c>
    </row>
    <row r="976" spans="1:19" x14ac:dyDescent="0.3">
      <c r="A976" s="1">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1">
        <v>44988</v>
      </c>
      <c r="R976" s="1">
        <v>44997</v>
      </c>
      <c r="S976" t="s">
        <v>2924</v>
      </c>
    </row>
    <row r="977" spans="1:19" x14ac:dyDescent="0.3">
      <c r="A977" s="1">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1">
        <v>45798</v>
      </c>
      <c r="R977" s="1">
        <v>45804</v>
      </c>
      <c r="S977" t="s">
        <v>2925</v>
      </c>
    </row>
    <row r="978" spans="1:19" x14ac:dyDescent="0.3">
      <c r="A978" s="1">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1">
        <v>45777</v>
      </c>
      <c r="R978" s="1">
        <v>45784</v>
      </c>
      <c r="S978" t="s">
        <v>2925</v>
      </c>
    </row>
    <row r="979" spans="1:19" x14ac:dyDescent="0.3">
      <c r="A979" s="1">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1">
        <v>45018</v>
      </c>
      <c r="R979" s="1">
        <v>45020</v>
      </c>
      <c r="S979" t="s">
        <v>2924</v>
      </c>
    </row>
    <row r="980" spans="1:19" x14ac:dyDescent="0.3">
      <c r="A980" s="1">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1">
        <v>45530</v>
      </c>
      <c r="R980" s="1">
        <v>45540</v>
      </c>
      <c r="S980" t="s">
        <v>2924</v>
      </c>
    </row>
    <row r="981" spans="1:19" x14ac:dyDescent="0.3">
      <c r="A981" s="1">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1">
        <v>45240</v>
      </c>
      <c r="R981" s="1">
        <v>45250</v>
      </c>
      <c r="S981" t="s">
        <v>2923</v>
      </c>
    </row>
    <row r="982" spans="1:19" x14ac:dyDescent="0.3">
      <c r="A982" s="1">
        <v>45684</v>
      </c>
      <c r="B982" t="s">
        <v>22</v>
      </c>
      <c r="C982" t="s">
        <v>30</v>
      </c>
      <c r="D982">
        <v>20</v>
      </c>
      <c r="E982">
        <v>537.28</v>
      </c>
      <c r="F982" t="s">
        <v>33</v>
      </c>
      <c r="G982" t="s">
        <v>35</v>
      </c>
      <c r="H982">
        <v>0</v>
      </c>
      <c r="I982" t="s">
        <v>39</v>
      </c>
      <c r="J982">
        <v>10745.6</v>
      </c>
      <c r="K982" t="s">
        <v>43</v>
      </c>
      <c r="L982" t="s">
        <v>2927</v>
      </c>
      <c r="M982">
        <v>1</v>
      </c>
      <c r="N982" t="s">
        <v>1031</v>
      </c>
      <c r="O982" t="s">
        <v>2475</v>
      </c>
      <c r="P982">
        <v>15.6</v>
      </c>
      <c r="Q982" s="1">
        <v>45684</v>
      </c>
      <c r="R982" s="1">
        <v>45690</v>
      </c>
      <c r="S982" t="s">
        <v>2925</v>
      </c>
    </row>
    <row r="983" spans="1:19" x14ac:dyDescent="0.3">
      <c r="A983" s="1">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1">
        <v>45408</v>
      </c>
      <c r="R983" s="1">
        <v>45412</v>
      </c>
      <c r="S983" t="s">
        <v>2923</v>
      </c>
    </row>
    <row r="984" spans="1:19" x14ac:dyDescent="0.3">
      <c r="A984" s="1">
        <v>45257</v>
      </c>
      <c r="B984" t="s">
        <v>19</v>
      </c>
      <c r="C984" t="s">
        <v>29</v>
      </c>
      <c r="D984">
        <v>9</v>
      </c>
      <c r="E984">
        <v>97.56</v>
      </c>
      <c r="F984" t="s">
        <v>32</v>
      </c>
      <c r="G984" t="s">
        <v>35</v>
      </c>
      <c r="H984">
        <v>0</v>
      </c>
      <c r="I984" t="s">
        <v>38</v>
      </c>
      <c r="J984">
        <v>878.04</v>
      </c>
      <c r="K984" t="s">
        <v>43</v>
      </c>
      <c r="L984" t="s">
        <v>2927</v>
      </c>
      <c r="M984">
        <v>0</v>
      </c>
      <c r="N984" t="s">
        <v>1033</v>
      </c>
      <c r="O984" t="s">
        <v>2477</v>
      </c>
      <c r="P984">
        <v>48.84</v>
      </c>
      <c r="Q984" s="1">
        <v>45257</v>
      </c>
      <c r="R984" s="1">
        <v>45261</v>
      </c>
      <c r="S984" t="s">
        <v>2922</v>
      </c>
    </row>
    <row r="985" spans="1:19" x14ac:dyDescent="0.3">
      <c r="A985" s="1">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1">
        <v>45015</v>
      </c>
      <c r="R985" s="1">
        <v>45022</v>
      </c>
      <c r="S985" t="s">
        <v>2925</v>
      </c>
    </row>
    <row r="986" spans="1:19" x14ac:dyDescent="0.3">
      <c r="A986" s="1">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1">
        <v>45355</v>
      </c>
      <c r="R986" s="1">
        <v>45362</v>
      </c>
      <c r="S986" t="s">
        <v>2924</v>
      </c>
    </row>
    <row r="987" spans="1:19" x14ac:dyDescent="0.3">
      <c r="A987" s="1">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1">
        <v>45118</v>
      </c>
      <c r="R987" s="1">
        <v>45122</v>
      </c>
      <c r="S987" t="s">
        <v>2923</v>
      </c>
    </row>
    <row r="988" spans="1:19" x14ac:dyDescent="0.3">
      <c r="A988" s="1">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1">
        <v>45555</v>
      </c>
      <c r="R988" s="1">
        <v>45564</v>
      </c>
      <c r="S988" t="s">
        <v>2926</v>
      </c>
    </row>
    <row r="989" spans="1:19" x14ac:dyDescent="0.3">
      <c r="A989" s="1">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1">
        <v>45706</v>
      </c>
      <c r="R989" s="1">
        <v>45712</v>
      </c>
      <c r="S989" t="s">
        <v>2926</v>
      </c>
    </row>
    <row r="990" spans="1:19" x14ac:dyDescent="0.3">
      <c r="A990" s="1">
        <v>45489</v>
      </c>
      <c r="B990" t="s">
        <v>19</v>
      </c>
      <c r="C990" t="s">
        <v>29</v>
      </c>
      <c r="D990">
        <v>7</v>
      </c>
      <c r="E990">
        <v>498.46</v>
      </c>
      <c r="F990" t="s">
        <v>33</v>
      </c>
      <c r="G990" t="s">
        <v>35</v>
      </c>
      <c r="H990">
        <v>0.15</v>
      </c>
      <c r="I990" t="s">
        <v>40</v>
      </c>
      <c r="J990">
        <v>2965.837</v>
      </c>
      <c r="K990" t="s">
        <v>44</v>
      </c>
      <c r="L990" t="s">
        <v>2927</v>
      </c>
      <c r="M990">
        <v>0</v>
      </c>
      <c r="N990" t="s">
        <v>1039</v>
      </c>
      <c r="O990" t="s">
        <v>2483</v>
      </c>
      <c r="P990">
        <v>42.72</v>
      </c>
      <c r="Q990" s="1">
        <v>45489</v>
      </c>
      <c r="R990" s="1">
        <v>45493</v>
      </c>
      <c r="S990" t="s">
        <v>2922</v>
      </c>
    </row>
    <row r="991" spans="1:19" x14ac:dyDescent="0.3">
      <c r="A991" s="1">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1">
        <v>45253</v>
      </c>
      <c r="R991" s="1">
        <v>45255</v>
      </c>
      <c r="S991" t="s">
        <v>2922</v>
      </c>
    </row>
    <row r="992" spans="1:19" x14ac:dyDescent="0.3">
      <c r="A992" s="1">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1">
        <v>45176</v>
      </c>
      <c r="R992" s="1">
        <v>45178</v>
      </c>
      <c r="S992" t="s">
        <v>2923</v>
      </c>
    </row>
    <row r="993" spans="1:19" x14ac:dyDescent="0.3">
      <c r="A993" s="1">
        <v>45323</v>
      </c>
      <c r="B993" t="s">
        <v>23</v>
      </c>
      <c r="C993" t="s">
        <v>28</v>
      </c>
      <c r="D993">
        <v>11</v>
      </c>
      <c r="E993">
        <v>201.09</v>
      </c>
      <c r="F993" t="s">
        <v>33</v>
      </c>
      <c r="G993" t="s">
        <v>36</v>
      </c>
      <c r="H993">
        <v>0.15</v>
      </c>
      <c r="I993" t="s">
        <v>40</v>
      </c>
      <c r="J993">
        <v>1880.1914999999999</v>
      </c>
      <c r="K993" t="s">
        <v>47</v>
      </c>
      <c r="L993" t="s">
        <v>2927</v>
      </c>
      <c r="M993">
        <v>1</v>
      </c>
      <c r="N993" t="s">
        <v>1042</v>
      </c>
      <c r="O993" t="s">
        <v>2486</v>
      </c>
      <c r="P993">
        <v>48.42</v>
      </c>
      <c r="Q993" s="1">
        <v>45323</v>
      </c>
      <c r="R993" s="1">
        <v>45326</v>
      </c>
      <c r="S993" t="s">
        <v>2926</v>
      </c>
    </row>
    <row r="994" spans="1:19" x14ac:dyDescent="0.3">
      <c r="A994" s="1">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1">
        <v>45785</v>
      </c>
      <c r="R994" s="1">
        <v>45789</v>
      </c>
      <c r="S994" t="s">
        <v>2923</v>
      </c>
    </row>
    <row r="995" spans="1:19" x14ac:dyDescent="0.3">
      <c r="A995" s="1">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1">
        <v>45674</v>
      </c>
      <c r="R995" s="1">
        <v>45681</v>
      </c>
      <c r="S995" t="s">
        <v>2924</v>
      </c>
    </row>
    <row r="996" spans="1:19" x14ac:dyDescent="0.3">
      <c r="A996" s="1">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1">
        <v>45171</v>
      </c>
      <c r="R996" s="1">
        <v>45177</v>
      </c>
      <c r="S996" t="s">
        <v>2922</v>
      </c>
    </row>
    <row r="997" spans="1:19" x14ac:dyDescent="0.3">
      <c r="A997" s="1">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1">
        <v>45100</v>
      </c>
      <c r="R997" s="1">
        <v>45108</v>
      </c>
      <c r="S997" t="s">
        <v>2925</v>
      </c>
    </row>
    <row r="998" spans="1:19" x14ac:dyDescent="0.3">
      <c r="A998" s="1">
        <v>45311</v>
      </c>
      <c r="B998" t="s">
        <v>19</v>
      </c>
      <c r="C998" t="s">
        <v>24</v>
      </c>
      <c r="D998">
        <v>19</v>
      </c>
      <c r="E998">
        <v>482.07</v>
      </c>
      <c r="F998" t="s">
        <v>31</v>
      </c>
      <c r="G998" t="s">
        <v>35</v>
      </c>
      <c r="H998">
        <v>0.1</v>
      </c>
      <c r="I998" t="s">
        <v>42</v>
      </c>
      <c r="J998">
        <v>8243.3970000000008</v>
      </c>
      <c r="K998" t="s">
        <v>45</v>
      </c>
      <c r="L998" t="s">
        <v>2927</v>
      </c>
      <c r="M998">
        <v>0</v>
      </c>
      <c r="N998" t="s">
        <v>1047</v>
      </c>
      <c r="O998" t="s">
        <v>2490</v>
      </c>
      <c r="P998">
        <v>25.96</v>
      </c>
      <c r="Q998" s="1">
        <v>45311</v>
      </c>
      <c r="R998" s="1">
        <v>45317</v>
      </c>
      <c r="S998" t="s">
        <v>2922</v>
      </c>
    </row>
    <row r="999" spans="1:19" x14ac:dyDescent="0.3">
      <c r="A999" s="1">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1">
        <v>45469</v>
      </c>
      <c r="R999" s="1">
        <v>45479</v>
      </c>
      <c r="S999" t="s">
        <v>2922</v>
      </c>
    </row>
    <row r="1000" spans="1:19" x14ac:dyDescent="0.3">
      <c r="A1000" s="1">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1">
        <v>45638</v>
      </c>
      <c r="R1000" s="1">
        <v>45643</v>
      </c>
      <c r="S1000" t="s">
        <v>2925</v>
      </c>
    </row>
    <row r="1001" spans="1:19" x14ac:dyDescent="0.3">
      <c r="A1001" s="1">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1">
        <v>45343</v>
      </c>
      <c r="R1001" s="1">
        <v>45352</v>
      </c>
      <c r="S1001" t="s">
        <v>2922</v>
      </c>
    </row>
    <row r="1002" spans="1:19" x14ac:dyDescent="0.3">
      <c r="A1002" s="1">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1">
        <v>45125</v>
      </c>
      <c r="R1002" s="1">
        <v>45132</v>
      </c>
      <c r="S1002" t="s">
        <v>2922</v>
      </c>
    </row>
    <row r="1003" spans="1:19" x14ac:dyDescent="0.3">
      <c r="A1003" s="1">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1">
        <v>45567</v>
      </c>
      <c r="R1003" s="1">
        <v>45571</v>
      </c>
      <c r="S1003" t="s">
        <v>2924</v>
      </c>
    </row>
    <row r="1004" spans="1:19" x14ac:dyDescent="0.3">
      <c r="A1004" s="1">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1">
        <v>45627</v>
      </c>
      <c r="R1004" s="1">
        <v>45630</v>
      </c>
      <c r="S1004" t="s">
        <v>2926</v>
      </c>
    </row>
    <row r="1005" spans="1:19" x14ac:dyDescent="0.3">
      <c r="A1005" s="1">
        <v>45538</v>
      </c>
      <c r="B1005" t="s">
        <v>19</v>
      </c>
      <c r="C1005" t="s">
        <v>26</v>
      </c>
      <c r="D1005">
        <v>1</v>
      </c>
      <c r="E1005">
        <v>561.29999999999995</v>
      </c>
      <c r="F1005" t="s">
        <v>34</v>
      </c>
      <c r="G1005" t="s">
        <v>36</v>
      </c>
      <c r="H1005">
        <v>0.15</v>
      </c>
      <c r="I1005" t="s">
        <v>39</v>
      </c>
      <c r="J1005">
        <v>477.10500000000002</v>
      </c>
      <c r="K1005" t="s">
        <v>44</v>
      </c>
      <c r="L1005" t="s">
        <v>2927</v>
      </c>
      <c r="M1005">
        <v>0</v>
      </c>
      <c r="N1005" t="s">
        <v>1054</v>
      </c>
      <c r="O1005" t="s">
        <v>2496</v>
      </c>
      <c r="P1005">
        <v>5.19</v>
      </c>
      <c r="Q1005" s="1">
        <v>45538</v>
      </c>
      <c r="R1005" s="1">
        <v>45547</v>
      </c>
      <c r="S1005" t="s">
        <v>2922</v>
      </c>
    </row>
    <row r="1006" spans="1:19" x14ac:dyDescent="0.3">
      <c r="A1006" s="1">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1">
        <v>45710</v>
      </c>
      <c r="R1006" s="1">
        <v>45717</v>
      </c>
      <c r="S1006" t="s">
        <v>2926</v>
      </c>
    </row>
    <row r="1007" spans="1:19" x14ac:dyDescent="0.3">
      <c r="A1007" s="1">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1">
        <v>45788</v>
      </c>
      <c r="R1007" s="1">
        <v>45790</v>
      </c>
      <c r="S1007" t="s">
        <v>2926</v>
      </c>
    </row>
    <row r="1008" spans="1:19" x14ac:dyDescent="0.3">
      <c r="A1008" s="1">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1">
        <v>45646</v>
      </c>
      <c r="R1008" s="1">
        <v>45655</v>
      </c>
      <c r="S1008" t="s">
        <v>2925</v>
      </c>
    </row>
    <row r="1009" spans="1:19" x14ac:dyDescent="0.3">
      <c r="A1009" s="1">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1">
        <v>45034</v>
      </c>
      <c r="R1009" s="1">
        <v>45037</v>
      </c>
      <c r="S1009" t="s">
        <v>2922</v>
      </c>
    </row>
    <row r="1010" spans="1:19" x14ac:dyDescent="0.3">
      <c r="A1010" s="1">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1">
        <v>45533</v>
      </c>
      <c r="R1010" s="1">
        <v>45538</v>
      </c>
      <c r="S1010" t="s">
        <v>2922</v>
      </c>
    </row>
    <row r="1011" spans="1:19" x14ac:dyDescent="0.3">
      <c r="A1011" s="1">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1">
        <v>45172</v>
      </c>
      <c r="R1011" s="1">
        <v>45179</v>
      </c>
      <c r="S1011" t="s">
        <v>2924</v>
      </c>
    </row>
    <row r="1012" spans="1:19" x14ac:dyDescent="0.3">
      <c r="A1012" s="1">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1">
        <v>45796</v>
      </c>
      <c r="R1012" s="1">
        <v>45801</v>
      </c>
      <c r="S1012" t="s">
        <v>2922</v>
      </c>
    </row>
    <row r="1013" spans="1:19" x14ac:dyDescent="0.3">
      <c r="A1013" s="1">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1">
        <v>45095</v>
      </c>
      <c r="R1013" s="1">
        <v>45103</v>
      </c>
      <c r="S1013" t="s">
        <v>2922</v>
      </c>
    </row>
    <row r="1014" spans="1:19" x14ac:dyDescent="0.3">
      <c r="A1014" s="1">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1">
        <v>45826</v>
      </c>
      <c r="R1014" s="1">
        <v>45830</v>
      </c>
      <c r="S1014" t="s">
        <v>2926</v>
      </c>
    </row>
    <row r="1015" spans="1:19" x14ac:dyDescent="0.3">
      <c r="A1015" s="1">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1">
        <v>45564</v>
      </c>
      <c r="R1015" s="1">
        <v>45572</v>
      </c>
      <c r="S1015" t="s">
        <v>2923</v>
      </c>
    </row>
    <row r="1016" spans="1:19" x14ac:dyDescent="0.3">
      <c r="A1016" s="1">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1">
        <v>45347</v>
      </c>
      <c r="R1016" s="1">
        <v>45355</v>
      </c>
      <c r="S1016" t="s">
        <v>2922</v>
      </c>
    </row>
    <row r="1017" spans="1:19" x14ac:dyDescent="0.3">
      <c r="A1017" s="1">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1">
        <v>45372</v>
      </c>
      <c r="R1017" s="1">
        <v>45381</v>
      </c>
      <c r="S1017" t="s">
        <v>2924</v>
      </c>
    </row>
    <row r="1018" spans="1:19" x14ac:dyDescent="0.3">
      <c r="A1018" s="1">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1">
        <v>45325</v>
      </c>
      <c r="R1018" s="1">
        <v>45331</v>
      </c>
      <c r="S1018" t="s">
        <v>2924</v>
      </c>
    </row>
    <row r="1019" spans="1:19" x14ac:dyDescent="0.3">
      <c r="A1019" s="1">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1">
        <v>45251</v>
      </c>
      <c r="R1019" s="1">
        <v>45254</v>
      </c>
      <c r="S1019" t="s">
        <v>2923</v>
      </c>
    </row>
    <row r="1020" spans="1:19" x14ac:dyDescent="0.3">
      <c r="A1020" s="1">
        <v>44936</v>
      </c>
      <c r="B1020" t="s">
        <v>23</v>
      </c>
      <c r="C1020" t="s">
        <v>27</v>
      </c>
      <c r="D1020">
        <v>14</v>
      </c>
      <c r="E1020">
        <v>250.98</v>
      </c>
      <c r="F1020" t="s">
        <v>33</v>
      </c>
      <c r="G1020" t="s">
        <v>36</v>
      </c>
      <c r="H1020">
        <v>0</v>
      </c>
      <c r="I1020" t="s">
        <v>37</v>
      </c>
      <c r="J1020">
        <v>3513.72</v>
      </c>
      <c r="K1020" t="s">
        <v>46</v>
      </c>
      <c r="L1020" t="s">
        <v>2927</v>
      </c>
      <c r="M1020">
        <v>0</v>
      </c>
      <c r="N1020" t="s">
        <v>1069</v>
      </c>
      <c r="O1020" t="s">
        <v>2510</v>
      </c>
      <c r="P1020">
        <v>14.94</v>
      </c>
      <c r="Q1020" s="1">
        <v>44936</v>
      </c>
      <c r="R1020" s="1">
        <v>44944</v>
      </c>
      <c r="S1020" t="s">
        <v>2926</v>
      </c>
    </row>
    <row r="1021" spans="1:19" x14ac:dyDescent="0.3">
      <c r="A1021" s="1">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1">
        <v>44963</v>
      </c>
      <c r="R1021" s="1">
        <v>44967</v>
      </c>
      <c r="S1021" t="s">
        <v>2925</v>
      </c>
    </row>
    <row r="1022" spans="1:19" x14ac:dyDescent="0.3">
      <c r="A1022" s="1">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1">
        <v>45757</v>
      </c>
      <c r="R1022" s="1">
        <v>45767</v>
      </c>
      <c r="S1022" t="s">
        <v>2924</v>
      </c>
    </row>
    <row r="1023" spans="1:19" x14ac:dyDescent="0.3">
      <c r="A1023" s="1">
        <v>45336</v>
      </c>
      <c r="B1023" t="s">
        <v>19</v>
      </c>
      <c r="C1023" t="s">
        <v>29</v>
      </c>
      <c r="D1023">
        <v>1</v>
      </c>
      <c r="E1023">
        <v>542.63</v>
      </c>
      <c r="F1023" t="s">
        <v>32</v>
      </c>
      <c r="G1023" t="s">
        <v>36</v>
      </c>
      <c r="H1023">
        <v>0.05</v>
      </c>
      <c r="I1023" t="s">
        <v>40</v>
      </c>
      <c r="J1023">
        <v>515.49849999999992</v>
      </c>
      <c r="K1023" t="s">
        <v>45</v>
      </c>
      <c r="L1023" t="s">
        <v>2927</v>
      </c>
      <c r="M1023">
        <v>0</v>
      </c>
      <c r="N1023" t="s">
        <v>1072</v>
      </c>
      <c r="O1023" t="s">
        <v>2511</v>
      </c>
      <c r="P1023">
        <v>33.200000000000003</v>
      </c>
      <c r="Q1023" s="1">
        <v>45336</v>
      </c>
      <c r="R1023" s="1">
        <v>45343</v>
      </c>
      <c r="S1023" t="s">
        <v>2922</v>
      </c>
    </row>
    <row r="1024" spans="1:19" x14ac:dyDescent="0.3">
      <c r="A1024" s="1">
        <v>45803</v>
      </c>
      <c r="B1024" t="s">
        <v>19</v>
      </c>
      <c r="C1024" t="s">
        <v>25</v>
      </c>
      <c r="D1024">
        <v>1</v>
      </c>
      <c r="E1024">
        <v>204.54</v>
      </c>
      <c r="F1024" t="s">
        <v>34</v>
      </c>
      <c r="G1024" t="s">
        <v>36</v>
      </c>
      <c r="H1024">
        <v>0.1</v>
      </c>
      <c r="I1024" t="s">
        <v>40</v>
      </c>
      <c r="J1024">
        <v>184.08600000000001</v>
      </c>
      <c r="K1024" t="s">
        <v>43</v>
      </c>
      <c r="L1024" t="s">
        <v>2927</v>
      </c>
      <c r="M1024">
        <v>1</v>
      </c>
      <c r="N1024" t="s">
        <v>1073</v>
      </c>
      <c r="O1024" t="s">
        <v>2512</v>
      </c>
      <c r="P1024">
        <v>17.760000000000002</v>
      </c>
      <c r="Q1024" s="1">
        <v>45803</v>
      </c>
      <c r="R1024" s="1">
        <v>45806</v>
      </c>
      <c r="S1024" t="s">
        <v>2922</v>
      </c>
    </row>
    <row r="1025" spans="1:19" x14ac:dyDescent="0.3">
      <c r="A1025" s="1">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1">
        <v>45181</v>
      </c>
      <c r="R1025" s="1">
        <v>45188</v>
      </c>
      <c r="S1025" t="s">
        <v>2926</v>
      </c>
    </row>
    <row r="1026" spans="1:19" x14ac:dyDescent="0.3">
      <c r="A1026" s="1">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1">
        <v>45063</v>
      </c>
      <c r="R1026" s="1">
        <v>45072</v>
      </c>
      <c r="S1026" t="s">
        <v>2922</v>
      </c>
    </row>
    <row r="1027" spans="1:19" x14ac:dyDescent="0.3">
      <c r="A1027" s="1">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1">
        <v>45320</v>
      </c>
      <c r="R1027" s="1">
        <v>45322</v>
      </c>
      <c r="S1027" t="s">
        <v>2926</v>
      </c>
    </row>
    <row r="1028" spans="1:19" x14ac:dyDescent="0.3">
      <c r="A1028" s="1">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1">
        <v>45786</v>
      </c>
      <c r="R1028" s="1">
        <v>45795</v>
      </c>
      <c r="S1028" t="s">
        <v>2924</v>
      </c>
    </row>
    <row r="1029" spans="1:19" x14ac:dyDescent="0.3">
      <c r="A1029" s="1">
        <v>45387</v>
      </c>
      <c r="B1029" t="s">
        <v>19</v>
      </c>
      <c r="C1029" t="s">
        <v>30</v>
      </c>
      <c r="D1029">
        <v>4</v>
      </c>
      <c r="E1029">
        <v>410.59</v>
      </c>
      <c r="F1029" t="s">
        <v>32</v>
      </c>
      <c r="G1029" t="s">
        <v>36</v>
      </c>
      <c r="H1029">
        <v>0</v>
      </c>
      <c r="I1029" t="s">
        <v>37</v>
      </c>
      <c r="J1029">
        <v>1642.36</v>
      </c>
      <c r="K1029" t="s">
        <v>47</v>
      </c>
      <c r="L1029" t="s">
        <v>2927</v>
      </c>
      <c r="M1029">
        <v>0</v>
      </c>
      <c r="N1029" t="s">
        <v>1078</v>
      </c>
      <c r="O1029" t="s">
        <v>2516</v>
      </c>
      <c r="P1029">
        <v>17.36</v>
      </c>
      <c r="Q1029" s="1">
        <v>45387</v>
      </c>
      <c r="R1029" s="1">
        <v>45391</v>
      </c>
      <c r="S1029" t="s">
        <v>2922</v>
      </c>
    </row>
    <row r="1030" spans="1:19" x14ac:dyDescent="0.3">
      <c r="A1030" s="1">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1">
        <v>45505</v>
      </c>
      <c r="R1030" s="1">
        <v>45514</v>
      </c>
      <c r="S1030" t="s">
        <v>2923</v>
      </c>
    </row>
    <row r="1031" spans="1:19" x14ac:dyDescent="0.3">
      <c r="A1031" s="1">
        <v>45483</v>
      </c>
      <c r="B1031" t="s">
        <v>20</v>
      </c>
      <c r="C1031" t="s">
        <v>27</v>
      </c>
      <c r="D1031">
        <v>20</v>
      </c>
      <c r="E1031">
        <v>150.16</v>
      </c>
      <c r="F1031" t="s">
        <v>33</v>
      </c>
      <c r="G1031" t="s">
        <v>35</v>
      </c>
      <c r="H1031">
        <v>0</v>
      </c>
      <c r="I1031" t="s">
        <v>42</v>
      </c>
      <c r="J1031">
        <v>3003.2</v>
      </c>
      <c r="K1031" t="s">
        <v>47</v>
      </c>
      <c r="L1031" t="s">
        <v>2927</v>
      </c>
      <c r="M1031">
        <v>0</v>
      </c>
      <c r="N1031" t="s">
        <v>1080</v>
      </c>
      <c r="O1031" t="s">
        <v>2518</v>
      </c>
      <c r="P1031">
        <v>41.66</v>
      </c>
      <c r="Q1031" s="1">
        <v>45483</v>
      </c>
      <c r="R1031" s="1">
        <v>45485</v>
      </c>
      <c r="S1031" t="s">
        <v>2923</v>
      </c>
    </row>
    <row r="1032" spans="1:19" x14ac:dyDescent="0.3">
      <c r="A1032" s="1">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1">
        <v>45458</v>
      </c>
      <c r="R1032" s="1">
        <v>45463</v>
      </c>
      <c r="S1032" t="s">
        <v>2922</v>
      </c>
    </row>
    <row r="1033" spans="1:19" x14ac:dyDescent="0.3">
      <c r="A1033" s="1">
        <v>45434</v>
      </c>
      <c r="B1033" t="s">
        <v>19</v>
      </c>
      <c r="C1033" t="s">
        <v>28</v>
      </c>
      <c r="D1033">
        <v>6</v>
      </c>
      <c r="E1033">
        <v>535.38</v>
      </c>
      <c r="F1033" t="s">
        <v>33</v>
      </c>
      <c r="G1033" t="s">
        <v>35</v>
      </c>
      <c r="H1033">
        <v>0.15</v>
      </c>
      <c r="I1033" t="s">
        <v>38</v>
      </c>
      <c r="J1033">
        <v>2730.4380000000001</v>
      </c>
      <c r="K1033" t="s">
        <v>43</v>
      </c>
      <c r="L1033" t="s">
        <v>2927</v>
      </c>
      <c r="M1033">
        <v>0</v>
      </c>
      <c r="N1033" t="s">
        <v>1082</v>
      </c>
      <c r="O1033" t="s">
        <v>2520</v>
      </c>
      <c r="P1033">
        <v>48.66</v>
      </c>
      <c r="Q1033" s="1">
        <v>45434</v>
      </c>
      <c r="R1033" s="1">
        <v>45441</v>
      </c>
      <c r="S1033" t="s">
        <v>2922</v>
      </c>
    </row>
    <row r="1034" spans="1:19" x14ac:dyDescent="0.3">
      <c r="A1034" s="1">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1">
        <v>45305</v>
      </c>
      <c r="R1034" s="1">
        <v>45309</v>
      </c>
      <c r="S1034" t="s">
        <v>2922</v>
      </c>
    </row>
    <row r="1035" spans="1:19" x14ac:dyDescent="0.3">
      <c r="A1035" s="1">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1">
        <v>45596</v>
      </c>
      <c r="R1035" s="1">
        <v>45598</v>
      </c>
      <c r="S1035" t="s">
        <v>2924</v>
      </c>
    </row>
    <row r="1036" spans="1:19" x14ac:dyDescent="0.3">
      <c r="A1036" s="1">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1">
        <v>45405</v>
      </c>
      <c r="R1036" s="1">
        <v>45411</v>
      </c>
      <c r="S1036" t="s">
        <v>2926</v>
      </c>
    </row>
    <row r="1037" spans="1:19" x14ac:dyDescent="0.3">
      <c r="A1037" s="1">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1">
        <v>45091</v>
      </c>
      <c r="R1037" s="1">
        <v>45097</v>
      </c>
      <c r="S1037" t="s">
        <v>2923</v>
      </c>
    </row>
    <row r="1038" spans="1:19" x14ac:dyDescent="0.3">
      <c r="A1038" s="1">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1">
        <v>45350</v>
      </c>
      <c r="R1038" s="1">
        <v>45353</v>
      </c>
      <c r="S1038" t="s">
        <v>2924</v>
      </c>
    </row>
    <row r="1039" spans="1:19" x14ac:dyDescent="0.3">
      <c r="A1039" s="1">
        <v>45462</v>
      </c>
      <c r="B1039" t="s">
        <v>20</v>
      </c>
      <c r="C1039" t="s">
        <v>30</v>
      </c>
      <c r="D1039">
        <v>9</v>
      </c>
      <c r="E1039">
        <v>88.49</v>
      </c>
      <c r="F1039" t="s">
        <v>34</v>
      </c>
      <c r="G1039" t="s">
        <v>35</v>
      </c>
      <c r="H1039">
        <v>0.05</v>
      </c>
      <c r="I1039" t="s">
        <v>41</v>
      </c>
      <c r="J1039">
        <v>756.58949999999993</v>
      </c>
      <c r="K1039" t="s">
        <v>43</v>
      </c>
      <c r="L1039" t="s">
        <v>2927</v>
      </c>
      <c r="M1039">
        <v>0</v>
      </c>
      <c r="N1039" t="s">
        <v>1088</v>
      </c>
      <c r="O1039" t="s">
        <v>2525</v>
      </c>
      <c r="P1039">
        <v>35.6</v>
      </c>
      <c r="Q1039" s="1">
        <v>45462</v>
      </c>
      <c r="R1039" s="1">
        <v>45469</v>
      </c>
      <c r="S1039" t="s">
        <v>2923</v>
      </c>
    </row>
    <row r="1040" spans="1:19" x14ac:dyDescent="0.3">
      <c r="A1040" s="1">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1">
        <v>45003</v>
      </c>
      <c r="R1040" s="1">
        <v>45005</v>
      </c>
      <c r="S1040" t="s">
        <v>2925</v>
      </c>
    </row>
    <row r="1041" spans="1:19" x14ac:dyDescent="0.3">
      <c r="A1041" s="1">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1">
        <v>45006</v>
      </c>
      <c r="R1041" s="1">
        <v>45016</v>
      </c>
      <c r="S1041" t="s">
        <v>2926</v>
      </c>
    </row>
    <row r="1042" spans="1:19" x14ac:dyDescent="0.3">
      <c r="A1042" s="1">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1">
        <v>45440</v>
      </c>
      <c r="R1042" s="1">
        <v>45444</v>
      </c>
      <c r="S1042" t="s">
        <v>2922</v>
      </c>
    </row>
    <row r="1043" spans="1:19" x14ac:dyDescent="0.3">
      <c r="A1043" s="1">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1">
        <v>45012</v>
      </c>
      <c r="R1043" s="1">
        <v>45015</v>
      </c>
      <c r="S1043" t="s">
        <v>2926</v>
      </c>
    </row>
    <row r="1044" spans="1:19" x14ac:dyDescent="0.3">
      <c r="A1044" s="1">
        <v>45096</v>
      </c>
      <c r="B1044" t="s">
        <v>22</v>
      </c>
      <c r="C1044" t="s">
        <v>30</v>
      </c>
      <c r="D1044">
        <v>1</v>
      </c>
      <c r="E1044">
        <v>123.4</v>
      </c>
      <c r="F1044" t="s">
        <v>32</v>
      </c>
      <c r="G1044" t="s">
        <v>36</v>
      </c>
      <c r="H1044">
        <v>0</v>
      </c>
      <c r="I1044" t="s">
        <v>37</v>
      </c>
      <c r="J1044">
        <v>123.4</v>
      </c>
      <c r="K1044" t="s">
        <v>47</v>
      </c>
      <c r="L1044" t="s">
        <v>2927</v>
      </c>
      <c r="M1044">
        <v>1</v>
      </c>
      <c r="N1044" t="s">
        <v>1093</v>
      </c>
      <c r="O1044" t="s">
        <v>2530</v>
      </c>
      <c r="P1044">
        <v>12.63</v>
      </c>
      <c r="Q1044" s="1">
        <v>45096</v>
      </c>
      <c r="R1044" s="1">
        <v>45102</v>
      </c>
      <c r="S1044" t="s">
        <v>2925</v>
      </c>
    </row>
    <row r="1045" spans="1:19" x14ac:dyDescent="0.3">
      <c r="A1045" s="1">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1">
        <v>45230</v>
      </c>
      <c r="R1045" s="1">
        <v>45237</v>
      </c>
      <c r="S1045" t="s">
        <v>2923</v>
      </c>
    </row>
    <row r="1046" spans="1:19" x14ac:dyDescent="0.3">
      <c r="A1046" s="1">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1">
        <v>45118</v>
      </c>
      <c r="R1046" s="1">
        <v>45125</v>
      </c>
      <c r="S1046" t="s">
        <v>2926</v>
      </c>
    </row>
    <row r="1047" spans="1:19" x14ac:dyDescent="0.3">
      <c r="A1047" s="1">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1">
        <v>45065</v>
      </c>
      <c r="R1047" s="1">
        <v>45074</v>
      </c>
      <c r="S1047" t="s">
        <v>2923</v>
      </c>
    </row>
    <row r="1048" spans="1:19" x14ac:dyDescent="0.3">
      <c r="A1048" s="1">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1">
        <v>45143</v>
      </c>
      <c r="R1048" s="1">
        <v>45148</v>
      </c>
      <c r="S1048" t="s">
        <v>2924</v>
      </c>
    </row>
    <row r="1049" spans="1:19" x14ac:dyDescent="0.3">
      <c r="A1049" s="1">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1">
        <v>45009</v>
      </c>
      <c r="R1049" s="1">
        <v>45019</v>
      </c>
      <c r="S1049" t="s">
        <v>2926</v>
      </c>
    </row>
    <row r="1050" spans="1:19" x14ac:dyDescent="0.3">
      <c r="A1050" s="1">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1">
        <v>45702</v>
      </c>
      <c r="R1050" s="1">
        <v>45705</v>
      </c>
      <c r="S1050" t="s">
        <v>2926</v>
      </c>
    </row>
    <row r="1051" spans="1:19" x14ac:dyDescent="0.3">
      <c r="A1051" s="1">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1">
        <v>45640</v>
      </c>
      <c r="R1051" s="1">
        <v>45642</v>
      </c>
      <c r="S1051" t="s">
        <v>2924</v>
      </c>
    </row>
    <row r="1052" spans="1:19" x14ac:dyDescent="0.3">
      <c r="A1052" s="1">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1">
        <v>45105</v>
      </c>
      <c r="R1052" s="1">
        <v>45108</v>
      </c>
      <c r="S1052" t="s">
        <v>2923</v>
      </c>
    </row>
    <row r="1053" spans="1:19" x14ac:dyDescent="0.3">
      <c r="A1053" s="1">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1">
        <v>44950</v>
      </c>
      <c r="R1053" s="1">
        <v>44954</v>
      </c>
      <c r="S1053" t="s">
        <v>2926</v>
      </c>
    </row>
    <row r="1054" spans="1:19" x14ac:dyDescent="0.3">
      <c r="A1054" s="1">
        <v>45464</v>
      </c>
      <c r="B1054" t="s">
        <v>22</v>
      </c>
      <c r="C1054" t="s">
        <v>29</v>
      </c>
      <c r="D1054">
        <v>14</v>
      </c>
      <c r="E1054">
        <v>542.6</v>
      </c>
      <c r="F1054" t="s">
        <v>33</v>
      </c>
      <c r="G1054" t="s">
        <v>36</v>
      </c>
      <c r="H1054">
        <v>0.05</v>
      </c>
      <c r="I1054" t="s">
        <v>37</v>
      </c>
      <c r="J1054">
        <v>7216.58</v>
      </c>
      <c r="K1054" t="s">
        <v>46</v>
      </c>
      <c r="L1054" t="s">
        <v>2927</v>
      </c>
      <c r="M1054">
        <v>0</v>
      </c>
      <c r="N1054" t="s">
        <v>1103</v>
      </c>
      <c r="O1054" t="s">
        <v>1984</v>
      </c>
      <c r="P1054">
        <v>44.76</v>
      </c>
      <c r="Q1054" s="1">
        <v>45464</v>
      </c>
      <c r="R1054" s="1">
        <v>45473</v>
      </c>
      <c r="S1054" t="s">
        <v>2925</v>
      </c>
    </row>
    <row r="1055" spans="1:19" x14ac:dyDescent="0.3">
      <c r="A1055" s="1">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1">
        <v>45756</v>
      </c>
      <c r="R1055" s="1">
        <v>45765</v>
      </c>
      <c r="S1055" t="s">
        <v>2924</v>
      </c>
    </row>
    <row r="1056" spans="1:19" x14ac:dyDescent="0.3">
      <c r="A1056" s="1">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1">
        <v>45668</v>
      </c>
      <c r="R1056" s="1">
        <v>45676</v>
      </c>
      <c r="S1056" t="s">
        <v>2924</v>
      </c>
    </row>
    <row r="1057" spans="1:19" x14ac:dyDescent="0.3">
      <c r="A1057" s="1">
        <v>45486</v>
      </c>
      <c r="B1057" t="s">
        <v>22</v>
      </c>
      <c r="C1057" t="s">
        <v>30</v>
      </c>
      <c r="D1057">
        <v>9</v>
      </c>
      <c r="E1057">
        <v>454.6</v>
      </c>
      <c r="F1057" t="s">
        <v>34</v>
      </c>
      <c r="G1057" t="s">
        <v>35</v>
      </c>
      <c r="H1057">
        <v>0.05</v>
      </c>
      <c r="I1057" t="s">
        <v>40</v>
      </c>
      <c r="J1057">
        <v>3886.83</v>
      </c>
      <c r="K1057" t="s">
        <v>46</v>
      </c>
      <c r="L1057" t="s">
        <v>2927</v>
      </c>
      <c r="M1057">
        <v>0</v>
      </c>
      <c r="N1057" t="s">
        <v>1106</v>
      </c>
      <c r="O1057" t="s">
        <v>2540</v>
      </c>
      <c r="P1057">
        <v>32.86</v>
      </c>
      <c r="Q1057" s="1">
        <v>45486</v>
      </c>
      <c r="R1057" s="1">
        <v>45493</v>
      </c>
      <c r="S1057" t="s">
        <v>2925</v>
      </c>
    </row>
    <row r="1058" spans="1:19" x14ac:dyDescent="0.3">
      <c r="A1058" s="1">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1">
        <v>45661</v>
      </c>
      <c r="R1058" s="1">
        <v>45667</v>
      </c>
      <c r="S1058" t="s">
        <v>2926</v>
      </c>
    </row>
    <row r="1059" spans="1:19" x14ac:dyDescent="0.3">
      <c r="A1059" s="1">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1">
        <v>45224</v>
      </c>
      <c r="R1059" s="1">
        <v>45230</v>
      </c>
      <c r="S1059" t="s">
        <v>2926</v>
      </c>
    </row>
    <row r="1060" spans="1:19" x14ac:dyDescent="0.3">
      <c r="A1060" s="1">
        <v>45199</v>
      </c>
      <c r="B1060" t="s">
        <v>20</v>
      </c>
      <c r="C1060" t="s">
        <v>24</v>
      </c>
      <c r="D1060">
        <v>7</v>
      </c>
      <c r="E1060">
        <v>421.12</v>
      </c>
      <c r="F1060" t="s">
        <v>34</v>
      </c>
      <c r="G1060" t="s">
        <v>35</v>
      </c>
      <c r="H1060">
        <v>0.15</v>
      </c>
      <c r="I1060" t="s">
        <v>41</v>
      </c>
      <c r="J1060">
        <v>2505.6640000000002</v>
      </c>
      <c r="K1060" t="s">
        <v>44</v>
      </c>
      <c r="L1060" t="s">
        <v>2927</v>
      </c>
      <c r="M1060">
        <v>0</v>
      </c>
      <c r="N1060" t="s">
        <v>1109</v>
      </c>
      <c r="O1060" t="s">
        <v>2543</v>
      </c>
      <c r="P1060">
        <v>44.49</v>
      </c>
      <c r="Q1060" s="1">
        <v>45199</v>
      </c>
      <c r="R1060" s="1">
        <v>45201</v>
      </c>
      <c r="S1060" t="s">
        <v>2923</v>
      </c>
    </row>
    <row r="1061" spans="1:19" x14ac:dyDescent="0.3">
      <c r="A1061" s="1">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1">
        <v>45001</v>
      </c>
      <c r="R1061" s="1">
        <v>45011</v>
      </c>
      <c r="S1061" t="s">
        <v>2924</v>
      </c>
    </row>
    <row r="1062" spans="1:19" x14ac:dyDescent="0.3">
      <c r="A1062" s="1">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1">
        <v>45133</v>
      </c>
      <c r="R1062" s="1">
        <v>45140</v>
      </c>
      <c r="S1062" t="s">
        <v>2924</v>
      </c>
    </row>
    <row r="1063" spans="1:19" x14ac:dyDescent="0.3">
      <c r="A1063" s="1">
        <v>45117</v>
      </c>
      <c r="B1063" t="s">
        <v>19</v>
      </c>
      <c r="C1063" t="s">
        <v>28</v>
      </c>
      <c r="D1063">
        <v>2</v>
      </c>
      <c r="E1063">
        <v>327.57</v>
      </c>
      <c r="F1063" t="s">
        <v>32</v>
      </c>
      <c r="G1063" t="s">
        <v>36</v>
      </c>
      <c r="H1063">
        <v>0.05</v>
      </c>
      <c r="I1063" t="s">
        <v>41</v>
      </c>
      <c r="J1063">
        <v>622.38299999999992</v>
      </c>
      <c r="K1063" t="s">
        <v>46</v>
      </c>
      <c r="L1063" t="s">
        <v>2927</v>
      </c>
      <c r="M1063">
        <v>0</v>
      </c>
      <c r="N1063" t="s">
        <v>1112</v>
      </c>
      <c r="O1063" t="s">
        <v>2545</v>
      </c>
      <c r="P1063">
        <v>19.489999999999998</v>
      </c>
      <c r="Q1063" s="1">
        <v>45117</v>
      </c>
      <c r="R1063" s="1">
        <v>45126</v>
      </c>
      <c r="S1063" t="s">
        <v>2922</v>
      </c>
    </row>
    <row r="1064" spans="1:19" x14ac:dyDescent="0.3">
      <c r="A1064" s="1">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1">
        <v>45510</v>
      </c>
      <c r="R1064" s="1">
        <v>45520</v>
      </c>
      <c r="S1064" t="s">
        <v>2922</v>
      </c>
    </row>
    <row r="1065" spans="1:19" x14ac:dyDescent="0.3">
      <c r="A1065" s="1">
        <v>45489</v>
      </c>
      <c r="B1065" t="s">
        <v>22</v>
      </c>
      <c r="C1065" t="s">
        <v>25</v>
      </c>
      <c r="D1065">
        <v>14</v>
      </c>
      <c r="E1065">
        <v>300.38</v>
      </c>
      <c r="F1065" t="s">
        <v>32</v>
      </c>
      <c r="G1065" t="s">
        <v>36</v>
      </c>
      <c r="H1065">
        <v>0.1</v>
      </c>
      <c r="I1065" t="s">
        <v>38</v>
      </c>
      <c r="J1065">
        <v>3784.788</v>
      </c>
      <c r="K1065" t="s">
        <v>43</v>
      </c>
      <c r="L1065" t="s">
        <v>2927</v>
      </c>
      <c r="M1065">
        <v>0</v>
      </c>
      <c r="N1065" t="s">
        <v>1114</v>
      </c>
      <c r="O1065" t="s">
        <v>2547</v>
      </c>
      <c r="P1065">
        <v>38.6</v>
      </c>
      <c r="Q1065" s="1">
        <v>45489</v>
      </c>
      <c r="R1065" s="1">
        <v>45492</v>
      </c>
      <c r="S1065" t="s">
        <v>2925</v>
      </c>
    </row>
    <row r="1066" spans="1:19" x14ac:dyDescent="0.3">
      <c r="A1066" s="1">
        <v>45322</v>
      </c>
      <c r="B1066" t="s">
        <v>21</v>
      </c>
      <c r="C1066" t="s">
        <v>30</v>
      </c>
      <c r="D1066">
        <v>5</v>
      </c>
      <c r="E1066">
        <v>232.29</v>
      </c>
      <c r="F1066" t="s">
        <v>32</v>
      </c>
      <c r="G1066" t="s">
        <v>35</v>
      </c>
      <c r="H1066">
        <v>0</v>
      </c>
      <c r="I1066" t="s">
        <v>38</v>
      </c>
      <c r="J1066">
        <v>1161.45</v>
      </c>
      <c r="K1066" t="s">
        <v>43</v>
      </c>
      <c r="L1066" t="s">
        <v>2927</v>
      </c>
      <c r="M1066">
        <v>1</v>
      </c>
      <c r="N1066" t="s">
        <v>1115</v>
      </c>
      <c r="O1066" t="s">
        <v>2548</v>
      </c>
      <c r="P1066">
        <v>42.38</v>
      </c>
      <c r="Q1066" s="1">
        <v>45322</v>
      </c>
      <c r="R1066" s="1">
        <v>45331</v>
      </c>
      <c r="S1066" t="s">
        <v>2924</v>
      </c>
    </row>
    <row r="1067" spans="1:19" x14ac:dyDescent="0.3">
      <c r="A1067" s="1">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1">
        <v>45038</v>
      </c>
      <c r="R1067" s="1">
        <v>45040</v>
      </c>
      <c r="S1067" t="s">
        <v>2925</v>
      </c>
    </row>
    <row r="1068" spans="1:19" x14ac:dyDescent="0.3">
      <c r="A1068" s="1">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1">
        <v>45692</v>
      </c>
      <c r="R1068" s="1">
        <v>45695</v>
      </c>
      <c r="S1068" t="s">
        <v>2922</v>
      </c>
    </row>
    <row r="1069" spans="1:19" x14ac:dyDescent="0.3">
      <c r="A1069" s="1">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1">
        <v>45529</v>
      </c>
      <c r="R1069" s="1">
        <v>45538</v>
      </c>
      <c r="S1069" t="s">
        <v>2925</v>
      </c>
    </row>
    <row r="1070" spans="1:19" x14ac:dyDescent="0.3">
      <c r="A1070" s="1">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1">
        <v>45168</v>
      </c>
      <c r="R1070" s="1">
        <v>45174</v>
      </c>
      <c r="S1070" t="s">
        <v>2922</v>
      </c>
    </row>
    <row r="1071" spans="1:19" x14ac:dyDescent="0.3">
      <c r="A1071" s="1">
        <v>45175</v>
      </c>
      <c r="B1071" t="s">
        <v>23</v>
      </c>
      <c r="C1071" t="s">
        <v>27</v>
      </c>
      <c r="D1071">
        <v>3</v>
      </c>
      <c r="E1071">
        <v>312.97000000000003</v>
      </c>
      <c r="F1071" t="s">
        <v>33</v>
      </c>
      <c r="G1071" t="s">
        <v>36</v>
      </c>
      <c r="H1071">
        <v>0.05</v>
      </c>
      <c r="I1071" t="s">
        <v>37</v>
      </c>
      <c r="J1071">
        <v>891.96450000000004</v>
      </c>
      <c r="K1071" t="s">
        <v>45</v>
      </c>
      <c r="L1071" t="s">
        <v>2927</v>
      </c>
      <c r="M1071">
        <v>1</v>
      </c>
      <c r="N1071" t="s">
        <v>1120</v>
      </c>
      <c r="O1071" t="s">
        <v>2552</v>
      </c>
      <c r="P1071">
        <v>20.059999999999999</v>
      </c>
      <c r="Q1071" s="1">
        <v>45175</v>
      </c>
      <c r="R1071" s="1">
        <v>45181</v>
      </c>
      <c r="S1071" t="s">
        <v>2926</v>
      </c>
    </row>
    <row r="1072" spans="1:19" x14ac:dyDescent="0.3">
      <c r="A1072" s="1">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1">
        <v>45790</v>
      </c>
      <c r="R1072" s="1">
        <v>45798</v>
      </c>
      <c r="S1072" t="s">
        <v>2923</v>
      </c>
    </row>
    <row r="1073" spans="1:19" x14ac:dyDescent="0.3">
      <c r="A1073" s="1">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1">
        <v>45228</v>
      </c>
      <c r="R1073" s="1">
        <v>45236</v>
      </c>
      <c r="S1073" t="s">
        <v>2924</v>
      </c>
    </row>
    <row r="1074" spans="1:19" x14ac:dyDescent="0.3">
      <c r="A1074" s="1">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1">
        <v>45455</v>
      </c>
      <c r="R1074" s="1">
        <v>45461</v>
      </c>
      <c r="S1074" t="s">
        <v>2922</v>
      </c>
    </row>
    <row r="1075" spans="1:19" x14ac:dyDescent="0.3">
      <c r="A1075" s="1">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1">
        <v>44959</v>
      </c>
      <c r="R1075" s="1">
        <v>44962</v>
      </c>
      <c r="S1075" t="s">
        <v>2923</v>
      </c>
    </row>
    <row r="1076" spans="1:19" x14ac:dyDescent="0.3">
      <c r="A1076" s="1">
        <v>45050</v>
      </c>
      <c r="B1076" t="s">
        <v>19</v>
      </c>
      <c r="C1076" t="s">
        <v>25</v>
      </c>
      <c r="D1076">
        <v>20</v>
      </c>
      <c r="E1076">
        <v>42.12</v>
      </c>
      <c r="F1076" t="s">
        <v>31</v>
      </c>
      <c r="G1076" t="s">
        <v>35</v>
      </c>
      <c r="H1076">
        <v>0.15</v>
      </c>
      <c r="I1076" t="s">
        <v>38</v>
      </c>
      <c r="J1076">
        <v>716.04</v>
      </c>
      <c r="K1076" t="s">
        <v>45</v>
      </c>
      <c r="L1076" t="s">
        <v>2927</v>
      </c>
      <c r="M1076">
        <v>0</v>
      </c>
      <c r="N1076" t="s">
        <v>1125</v>
      </c>
      <c r="O1076" t="s">
        <v>2557</v>
      </c>
      <c r="P1076">
        <v>43.22</v>
      </c>
      <c r="Q1076" s="1">
        <v>45050</v>
      </c>
      <c r="R1076" s="1">
        <v>45058</v>
      </c>
      <c r="S1076" t="s">
        <v>2922</v>
      </c>
    </row>
    <row r="1077" spans="1:19" x14ac:dyDescent="0.3">
      <c r="A1077" s="1">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1">
        <v>45070</v>
      </c>
      <c r="R1077" s="1">
        <v>45077</v>
      </c>
      <c r="S1077" t="s">
        <v>2926</v>
      </c>
    </row>
    <row r="1078" spans="1:19" x14ac:dyDescent="0.3">
      <c r="A1078" s="1">
        <v>44960</v>
      </c>
      <c r="B1078" t="s">
        <v>23</v>
      </c>
      <c r="C1078" t="s">
        <v>28</v>
      </c>
      <c r="D1078">
        <v>19</v>
      </c>
      <c r="E1078">
        <v>534.91999999999996</v>
      </c>
      <c r="F1078" t="s">
        <v>34</v>
      </c>
      <c r="G1078" t="s">
        <v>36</v>
      </c>
      <c r="H1078">
        <v>0</v>
      </c>
      <c r="I1078" t="s">
        <v>41</v>
      </c>
      <c r="J1078">
        <v>10163.48</v>
      </c>
      <c r="K1078" t="s">
        <v>43</v>
      </c>
      <c r="L1078" t="s">
        <v>2927</v>
      </c>
      <c r="M1078">
        <v>0</v>
      </c>
      <c r="N1078" t="s">
        <v>1127</v>
      </c>
      <c r="O1078" t="s">
        <v>2559</v>
      </c>
      <c r="P1078">
        <v>26.97</v>
      </c>
      <c r="Q1078" s="1">
        <v>44960</v>
      </c>
      <c r="R1078" s="1">
        <v>44970</v>
      </c>
      <c r="S1078" t="s">
        <v>2926</v>
      </c>
    </row>
    <row r="1079" spans="1:19" x14ac:dyDescent="0.3">
      <c r="A1079" s="1">
        <v>45285</v>
      </c>
      <c r="B1079" t="s">
        <v>19</v>
      </c>
      <c r="C1079" t="s">
        <v>27</v>
      </c>
      <c r="D1079">
        <v>1</v>
      </c>
      <c r="E1079">
        <v>494.52</v>
      </c>
      <c r="F1079" t="s">
        <v>34</v>
      </c>
      <c r="G1079" t="s">
        <v>36</v>
      </c>
      <c r="H1079">
        <v>0</v>
      </c>
      <c r="I1079" t="s">
        <v>42</v>
      </c>
      <c r="J1079">
        <v>494.52</v>
      </c>
      <c r="K1079" t="s">
        <v>45</v>
      </c>
      <c r="L1079" t="s">
        <v>2927</v>
      </c>
      <c r="M1079">
        <v>0</v>
      </c>
      <c r="N1079" t="s">
        <v>1128</v>
      </c>
      <c r="O1079" t="s">
        <v>2560</v>
      </c>
      <c r="P1079">
        <v>43.02</v>
      </c>
      <c r="Q1079" s="1">
        <v>45285</v>
      </c>
      <c r="R1079" s="1">
        <v>45293</v>
      </c>
      <c r="S1079" t="s">
        <v>2922</v>
      </c>
    </row>
    <row r="1080" spans="1:19" x14ac:dyDescent="0.3">
      <c r="A1080" s="1">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1">
        <v>45133</v>
      </c>
      <c r="R1080" s="1">
        <v>45139</v>
      </c>
      <c r="S1080" t="s">
        <v>2922</v>
      </c>
    </row>
    <row r="1081" spans="1:19" x14ac:dyDescent="0.3">
      <c r="A1081" s="1">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1">
        <v>45449</v>
      </c>
      <c r="R1081" s="1">
        <v>45458</v>
      </c>
      <c r="S1081" t="s">
        <v>2925</v>
      </c>
    </row>
    <row r="1082" spans="1:19" x14ac:dyDescent="0.3">
      <c r="A1082" s="1">
        <v>45578</v>
      </c>
      <c r="B1082" t="s">
        <v>20</v>
      </c>
      <c r="C1082" t="s">
        <v>30</v>
      </c>
      <c r="D1082">
        <v>18</v>
      </c>
      <c r="E1082">
        <v>256.23</v>
      </c>
      <c r="F1082" t="s">
        <v>31</v>
      </c>
      <c r="G1082" t="s">
        <v>35</v>
      </c>
      <c r="H1082">
        <v>0.05</v>
      </c>
      <c r="I1082" t="s">
        <v>37</v>
      </c>
      <c r="J1082">
        <v>4381.5330000000004</v>
      </c>
      <c r="K1082" t="s">
        <v>46</v>
      </c>
      <c r="L1082" t="s">
        <v>2927</v>
      </c>
      <c r="M1082">
        <v>0</v>
      </c>
      <c r="N1082" t="s">
        <v>1131</v>
      </c>
      <c r="O1082" t="s">
        <v>2562</v>
      </c>
      <c r="P1082">
        <v>11.21</v>
      </c>
      <c r="Q1082" s="1">
        <v>45578</v>
      </c>
      <c r="R1082" s="1">
        <v>45583</v>
      </c>
      <c r="S1082" t="s">
        <v>2923</v>
      </c>
    </row>
    <row r="1083" spans="1:19" x14ac:dyDescent="0.3">
      <c r="A1083" s="1">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1">
        <v>45599</v>
      </c>
      <c r="R1083" s="1">
        <v>45609</v>
      </c>
      <c r="S1083" t="s">
        <v>2924</v>
      </c>
    </row>
    <row r="1084" spans="1:19" x14ac:dyDescent="0.3">
      <c r="A1084" s="1">
        <v>45325</v>
      </c>
      <c r="B1084" t="s">
        <v>21</v>
      </c>
      <c r="C1084" t="s">
        <v>30</v>
      </c>
      <c r="D1084">
        <v>14</v>
      </c>
      <c r="E1084">
        <v>575.66</v>
      </c>
      <c r="F1084" t="s">
        <v>33</v>
      </c>
      <c r="G1084" t="s">
        <v>35</v>
      </c>
      <c r="H1084">
        <v>0.1</v>
      </c>
      <c r="I1084" t="s">
        <v>39</v>
      </c>
      <c r="J1084">
        <v>7253.3159999999998</v>
      </c>
      <c r="K1084" t="s">
        <v>45</v>
      </c>
      <c r="L1084" t="s">
        <v>2927</v>
      </c>
      <c r="M1084">
        <v>0</v>
      </c>
      <c r="N1084" t="s">
        <v>1133</v>
      </c>
      <c r="O1084" t="s">
        <v>2563</v>
      </c>
      <c r="P1084">
        <v>32.53</v>
      </c>
      <c r="Q1084" s="1">
        <v>45325</v>
      </c>
      <c r="R1084" s="1">
        <v>45333</v>
      </c>
      <c r="S1084" t="s">
        <v>2924</v>
      </c>
    </row>
    <row r="1085" spans="1:19" x14ac:dyDescent="0.3">
      <c r="A1085" s="1">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1">
        <v>44936</v>
      </c>
      <c r="R1085" s="1">
        <v>44939</v>
      </c>
      <c r="S1085" t="s">
        <v>2922</v>
      </c>
    </row>
    <row r="1086" spans="1:19" x14ac:dyDescent="0.3">
      <c r="A1086" s="1">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1">
        <v>45215</v>
      </c>
      <c r="R1086" s="1">
        <v>45221</v>
      </c>
      <c r="S1086" t="s">
        <v>2922</v>
      </c>
    </row>
    <row r="1087" spans="1:19" x14ac:dyDescent="0.3">
      <c r="A1087" s="1">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1">
        <v>45735</v>
      </c>
      <c r="R1087" s="1">
        <v>45740</v>
      </c>
      <c r="S1087" t="s">
        <v>2925</v>
      </c>
    </row>
    <row r="1088" spans="1:19" x14ac:dyDescent="0.3">
      <c r="A1088" s="1">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1">
        <v>45642</v>
      </c>
      <c r="R1088" s="1">
        <v>45645</v>
      </c>
      <c r="S1088" t="s">
        <v>2926</v>
      </c>
    </row>
    <row r="1089" spans="1:19" x14ac:dyDescent="0.3">
      <c r="A1089" s="1">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1">
        <v>45154</v>
      </c>
      <c r="R1089" s="1">
        <v>45158</v>
      </c>
      <c r="S1089" t="s">
        <v>2926</v>
      </c>
    </row>
    <row r="1090" spans="1:19" x14ac:dyDescent="0.3">
      <c r="A1090" s="1">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1">
        <v>44936</v>
      </c>
      <c r="R1090" s="1">
        <v>44946</v>
      </c>
      <c r="S1090" t="s">
        <v>2922</v>
      </c>
    </row>
    <row r="1091" spans="1:19" x14ac:dyDescent="0.3">
      <c r="A1091" s="1">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1">
        <v>45786</v>
      </c>
      <c r="R1091" s="1">
        <v>45795</v>
      </c>
      <c r="S1091" t="s">
        <v>2925</v>
      </c>
    </row>
    <row r="1092" spans="1:19" x14ac:dyDescent="0.3">
      <c r="A1092" s="1">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1">
        <v>45390</v>
      </c>
      <c r="R1092" s="1">
        <v>45398</v>
      </c>
      <c r="S1092" t="s">
        <v>2922</v>
      </c>
    </row>
    <row r="1093" spans="1:19" x14ac:dyDescent="0.3">
      <c r="A1093" s="1">
        <v>45783</v>
      </c>
      <c r="B1093" t="s">
        <v>19</v>
      </c>
      <c r="C1093" t="s">
        <v>28</v>
      </c>
      <c r="D1093">
        <v>16</v>
      </c>
      <c r="E1093">
        <v>426.65</v>
      </c>
      <c r="F1093" t="s">
        <v>32</v>
      </c>
      <c r="G1093" t="s">
        <v>36</v>
      </c>
      <c r="H1093">
        <v>0.1</v>
      </c>
      <c r="I1093" t="s">
        <v>41</v>
      </c>
      <c r="J1093">
        <v>6143.76</v>
      </c>
      <c r="K1093" t="s">
        <v>44</v>
      </c>
      <c r="L1093" t="s">
        <v>2927</v>
      </c>
      <c r="M1093">
        <v>0</v>
      </c>
      <c r="N1093" t="s">
        <v>1142</v>
      </c>
      <c r="O1093" t="s">
        <v>2571</v>
      </c>
      <c r="P1093">
        <v>10.199999999999999</v>
      </c>
      <c r="Q1093" s="1">
        <v>45783</v>
      </c>
      <c r="R1093" s="1">
        <v>45792</v>
      </c>
      <c r="S1093" t="s">
        <v>2922</v>
      </c>
    </row>
    <row r="1094" spans="1:19" x14ac:dyDescent="0.3">
      <c r="A1094" s="1">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1">
        <v>45067</v>
      </c>
      <c r="R1094" s="1">
        <v>45075</v>
      </c>
      <c r="S1094" t="s">
        <v>2926</v>
      </c>
    </row>
    <row r="1095" spans="1:19" x14ac:dyDescent="0.3">
      <c r="A1095" s="1">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1">
        <v>45253</v>
      </c>
      <c r="R1095" s="1">
        <v>45260</v>
      </c>
      <c r="S1095" t="s">
        <v>2925</v>
      </c>
    </row>
    <row r="1096" spans="1:19" x14ac:dyDescent="0.3">
      <c r="A1096" s="1">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1">
        <v>45377</v>
      </c>
      <c r="R1096" s="1">
        <v>45387</v>
      </c>
      <c r="S1096" t="s">
        <v>2924</v>
      </c>
    </row>
    <row r="1097" spans="1:19" x14ac:dyDescent="0.3">
      <c r="A1097" s="1">
        <v>45560</v>
      </c>
      <c r="B1097" t="s">
        <v>20</v>
      </c>
      <c r="C1097" t="s">
        <v>26</v>
      </c>
      <c r="D1097">
        <v>12</v>
      </c>
      <c r="E1097">
        <v>149.37</v>
      </c>
      <c r="F1097" t="s">
        <v>34</v>
      </c>
      <c r="G1097" t="s">
        <v>36</v>
      </c>
      <c r="H1097">
        <v>0.1</v>
      </c>
      <c r="I1097" t="s">
        <v>42</v>
      </c>
      <c r="J1097">
        <v>1613.1959999999999</v>
      </c>
      <c r="K1097" t="s">
        <v>45</v>
      </c>
      <c r="L1097" t="s">
        <v>2927</v>
      </c>
      <c r="M1097">
        <v>0</v>
      </c>
      <c r="N1097" t="s">
        <v>1146</v>
      </c>
      <c r="O1097" t="s">
        <v>2575</v>
      </c>
      <c r="P1097">
        <v>20.21</v>
      </c>
      <c r="Q1097" s="1">
        <v>45560</v>
      </c>
      <c r="R1097" s="1">
        <v>45567</v>
      </c>
      <c r="S1097" t="s">
        <v>2923</v>
      </c>
    </row>
    <row r="1098" spans="1:19" x14ac:dyDescent="0.3">
      <c r="A1098" s="1">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1">
        <v>45022</v>
      </c>
      <c r="R1098" s="1">
        <v>45026</v>
      </c>
      <c r="S1098" t="s">
        <v>2922</v>
      </c>
    </row>
    <row r="1099" spans="1:19" x14ac:dyDescent="0.3">
      <c r="A1099" s="1">
        <v>45467</v>
      </c>
      <c r="B1099" t="s">
        <v>21</v>
      </c>
      <c r="C1099" t="s">
        <v>27</v>
      </c>
      <c r="D1099">
        <v>16</v>
      </c>
      <c r="E1099">
        <v>462.86</v>
      </c>
      <c r="F1099" t="s">
        <v>34</v>
      </c>
      <c r="G1099" t="s">
        <v>36</v>
      </c>
      <c r="H1099">
        <v>0.05</v>
      </c>
      <c r="I1099" t="s">
        <v>42</v>
      </c>
      <c r="J1099">
        <v>7035.4719999999998</v>
      </c>
      <c r="K1099" t="s">
        <v>47</v>
      </c>
      <c r="L1099" t="s">
        <v>2927</v>
      </c>
      <c r="M1099">
        <v>1</v>
      </c>
      <c r="N1099" t="s">
        <v>1148</v>
      </c>
      <c r="O1099" t="s">
        <v>2577</v>
      </c>
      <c r="P1099">
        <v>17.43</v>
      </c>
      <c r="Q1099" s="1">
        <v>45467</v>
      </c>
      <c r="R1099" s="1">
        <v>45469</v>
      </c>
      <c r="S1099" t="s">
        <v>2924</v>
      </c>
    </row>
    <row r="1100" spans="1:19" x14ac:dyDescent="0.3">
      <c r="A1100" s="1">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1">
        <v>45641</v>
      </c>
      <c r="R1100" s="1">
        <v>45649</v>
      </c>
      <c r="S1100" t="s">
        <v>2923</v>
      </c>
    </row>
    <row r="1101" spans="1:19" x14ac:dyDescent="0.3">
      <c r="A1101" s="1">
        <v>45568</v>
      </c>
      <c r="B1101" t="s">
        <v>21</v>
      </c>
      <c r="C1101" t="s">
        <v>26</v>
      </c>
      <c r="D1101">
        <v>19</v>
      </c>
      <c r="E1101">
        <v>25.61</v>
      </c>
      <c r="F1101" t="s">
        <v>31</v>
      </c>
      <c r="G1101" t="s">
        <v>36</v>
      </c>
      <c r="H1101">
        <v>0</v>
      </c>
      <c r="I1101" t="s">
        <v>42</v>
      </c>
      <c r="J1101">
        <v>486.59</v>
      </c>
      <c r="K1101" t="s">
        <v>44</v>
      </c>
      <c r="L1101" t="s">
        <v>2927</v>
      </c>
      <c r="M1101">
        <v>0</v>
      </c>
      <c r="N1101" t="s">
        <v>1150</v>
      </c>
      <c r="O1101" t="s">
        <v>2048</v>
      </c>
      <c r="P1101">
        <v>30.32</v>
      </c>
      <c r="Q1101" s="1">
        <v>45568</v>
      </c>
      <c r="R1101" s="1">
        <v>45576</v>
      </c>
      <c r="S1101" t="s">
        <v>2924</v>
      </c>
    </row>
    <row r="1102" spans="1:19" x14ac:dyDescent="0.3">
      <c r="A1102" s="1">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1">
        <v>45172</v>
      </c>
      <c r="R1102" s="1">
        <v>45182</v>
      </c>
      <c r="S1102" t="s">
        <v>2923</v>
      </c>
    </row>
    <row r="1103" spans="1:19" x14ac:dyDescent="0.3">
      <c r="A1103" s="1">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1">
        <v>44955</v>
      </c>
      <c r="R1103" s="1">
        <v>44962</v>
      </c>
      <c r="S1103" t="s">
        <v>2924</v>
      </c>
    </row>
    <row r="1104" spans="1:19" x14ac:dyDescent="0.3">
      <c r="A1104" s="1">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1">
        <v>45455</v>
      </c>
      <c r="R1104" s="1">
        <v>45463</v>
      </c>
      <c r="S1104" t="s">
        <v>2924</v>
      </c>
    </row>
    <row r="1105" spans="1:19" x14ac:dyDescent="0.3">
      <c r="A1105" s="1">
        <v>45620</v>
      </c>
      <c r="B1105" t="s">
        <v>21</v>
      </c>
      <c r="C1105" t="s">
        <v>28</v>
      </c>
      <c r="D1105">
        <v>9</v>
      </c>
      <c r="E1105">
        <v>539.64</v>
      </c>
      <c r="F1105" t="s">
        <v>32</v>
      </c>
      <c r="G1105" t="s">
        <v>36</v>
      </c>
      <c r="H1105">
        <v>0.15</v>
      </c>
      <c r="I1105" t="s">
        <v>38</v>
      </c>
      <c r="J1105">
        <v>4128.2460000000001</v>
      </c>
      <c r="K1105" t="s">
        <v>44</v>
      </c>
      <c r="L1105" t="s">
        <v>2927</v>
      </c>
      <c r="M1105">
        <v>0</v>
      </c>
      <c r="N1105" t="s">
        <v>1154</v>
      </c>
      <c r="O1105" t="s">
        <v>2581</v>
      </c>
      <c r="P1105">
        <v>16.079999999999998</v>
      </c>
      <c r="Q1105" s="1">
        <v>45620</v>
      </c>
      <c r="R1105" s="1">
        <v>45629</v>
      </c>
      <c r="S1105" t="s">
        <v>2924</v>
      </c>
    </row>
    <row r="1106" spans="1:19" x14ac:dyDescent="0.3">
      <c r="A1106" s="1">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1">
        <v>45153</v>
      </c>
      <c r="R1106" s="1">
        <v>45158</v>
      </c>
      <c r="S1106" t="s">
        <v>2926</v>
      </c>
    </row>
    <row r="1107" spans="1:19" x14ac:dyDescent="0.3">
      <c r="A1107" s="1">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1">
        <v>45525</v>
      </c>
      <c r="R1107" s="1">
        <v>45534</v>
      </c>
      <c r="S1107" t="s">
        <v>2925</v>
      </c>
    </row>
    <row r="1108" spans="1:19" x14ac:dyDescent="0.3">
      <c r="A1108" s="1">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1">
        <v>45070</v>
      </c>
      <c r="R1108" s="1">
        <v>45078</v>
      </c>
      <c r="S1108" t="s">
        <v>2926</v>
      </c>
    </row>
    <row r="1109" spans="1:19" x14ac:dyDescent="0.3">
      <c r="A1109" s="1">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1">
        <v>45043</v>
      </c>
      <c r="R1109" s="1">
        <v>45047</v>
      </c>
      <c r="S1109" t="s">
        <v>2926</v>
      </c>
    </row>
    <row r="1110" spans="1:19" x14ac:dyDescent="0.3">
      <c r="A1110" s="1">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1">
        <v>45067</v>
      </c>
      <c r="R1110" s="1">
        <v>45072</v>
      </c>
      <c r="S1110" t="s">
        <v>2922</v>
      </c>
    </row>
    <row r="1111" spans="1:19" x14ac:dyDescent="0.3">
      <c r="A1111" s="1">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1">
        <v>45704</v>
      </c>
      <c r="R1111" s="1">
        <v>45713</v>
      </c>
      <c r="S1111" t="s">
        <v>2922</v>
      </c>
    </row>
    <row r="1112" spans="1:19" x14ac:dyDescent="0.3">
      <c r="A1112" s="1">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1">
        <v>45162</v>
      </c>
      <c r="R1112" s="1">
        <v>45167</v>
      </c>
      <c r="S1112" t="s">
        <v>2922</v>
      </c>
    </row>
    <row r="1113" spans="1:19" x14ac:dyDescent="0.3">
      <c r="A1113" s="1">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1">
        <v>45365</v>
      </c>
      <c r="R1113" s="1">
        <v>45372</v>
      </c>
      <c r="S1113" t="s">
        <v>2922</v>
      </c>
    </row>
    <row r="1114" spans="1:19" x14ac:dyDescent="0.3">
      <c r="A1114" s="1">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1">
        <v>45320</v>
      </c>
      <c r="R1114" s="1">
        <v>45329</v>
      </c>
      <c r="S1114" t="s">
        <v>2924</v>
      </c>
    </row>
    <row r="1115" spans="1:19" x14ac:dyDescent="0.3">
      <c r="A1115" s="1">
        <v>45513</v>
      </c>
      <c r="B1115" t="s">
        <v>20</v>
      </c>
      <c r="C1115" t="s">
        <v>25</v>
      </c>
      <c r="D1115">
        <v>10</v>
      </c>
      <c r="E1115">
        <v>522.73</v>
      </c>
      <c r="F1115" t="s">
        <v>33</v>
      </c>
      <c r="G1115" t="s">
        <v>36</v>
      </c>
      <c r="H1115">
        <v>0.1</v>
      </c>
      <c r="I1115" t="s">
        <v>42</v>
      </c>
      <c r="J1115">
        <v>4704.5700000000006</v>
      </c>
      <c r="K1115" t="s">
        <v>45</v>
      </c>
      <c r="L1115" t="s">
        <v>2927</v>
      </c>
      <c r="M1115">
        <v>0</v>
      </c>
      <c r="N1115" t="s">
        <v>1164</v>
      </c>
      <c r="O1115" t="s">
        <v>2591</v>
      </c>
      <c r="P1115">
        <v>20.059999999999999</v>
      </c>
      <c r="Q1115" s="1">
        <v>45513</v>
      </c>
      <c r="R1115" s="1">
        <v>45519</v>
      </c>
      <c r="S1115" t="s">
        <v>2923</v>
      </c>
    </row>
    <row r="1116" spans="1:19" x14ac:dyDescent="0.3">
      <c r="A1116" s="1">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1">
        <v>45481</v>
      </c>
      <c r="R1116" s="1">
        <v>45490</v>
      </c>
      <c r="S1116" t="s">
        <v>2924</v>
      </c>
    </row>
    <row r="1117" spans="1:19" x14ac:dyDescent="0.3">
      <c r="A1117" s="1">
        <v>45524</v>
      </c>
      <c r="B1117" t="s">
        <v>21</v>
      </c>
      <c r="C1117" t="s">
        <v>28</v>
      </c>
      <c r="D1117">
        <v>15</v>
      </c>
      <c r="E1117">
        <v>208.51</v>
      </c>
      <c r="F1117" t="s">
        <v>32</v>
      </c>
      <c r="G1117" t="s">
        <v>36</v>
      </c>
      <c r="H1117">
        <v>0.05</v>
      </c>
      <c r="I1117" t="s">
        <v>40</v>
      </c>
      <c r="J1117">
        <v>2971.267499999999</v>
      </c>
      <c r="K1117" t="s">
        <v>44</v>
      </c>
      <c r="L1117" t="s">
        <v>2927</v>
      </c>
      <c r="M1117">
        <v>0</v>
      </c>
      <c r="N1117" t="s">
        <v>1166</v>
      </c>
      <c r="O1117" t="s">
        <v>2593</v>
      </c>
      <c r="P1117">
        <v>37.81</v>
      </c>
      <c r="Q1117" s="1">
        <v>45524</v>
      </c>
      <c r="R1117" s="1">
        <v>45533</v>
      </c>
      <c r="S1117" t="s">
        <v>2924</v>
      </c>
    </row>
    <row r="1118" spans="1:19" x14ac:dyDescent="0.3">
      <c r="A1118" s="1">
        <v>45103</v>
      </c>
      <c r="B1118" t="s">
        <v>22</v>
      </c>
      <c r="C1118" t="s">
        <v>24</v>
      </c>
      <c r="D1118">
        <v>13</v>
      </c>
      <c r="E1118">
        <v>423.64</v>
      </c>
      <c r="F1118" t="s">
        <v>33</v>
      </c>
      <c r="G1118" t="s">
        <v>36</v>
      </c>
      <c r="H1118">
        <v>0.1</v>
      </c>
      <c r="I1118" t="s">
        <v>38</v>
      </c>
      <c r="J1118">
        <v>4956.5879999999997</v>
      </c>
      <c r="K1118" t="s">
        <v>46</v>
      </c>
      <c r="L1118" t="s">
        <v>2927</v>
      </c>
      <c r="M1118">
        <v>1</v>
      </c>
      <c r="N1118" t="s">
        <v>1167</v>
      </c>
      <c r="O1118" t="s">
        <v>2594</v>
      </c>
      <c r="P1118">
        <v>23.31</v>
      </c>
      <c r="Q1118" s="1">
        <v>45103</v>
      </c>
      <c r="R1118" s="1">
        <v>45105</v>
      </c>
      <c r="S1118" t="s">
        <v>2925</v>
      </c>
    </row>
    <row r="1119" spans="1:19" x14ac:dyDescent="0.3">
      <c r="A1119" s="1">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1">
        <v>45283</v>
      </c>
      <c r="R1119" s="1">
        <v>45285</v>
      </c>
      <c r="S1119" t="s">
        <v>2922</v>
      </c>
    </row>
    <row r="1120" spans="1:19" x14ac:dyDescent="0.3">
      <c r="A1120" s="1">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1">
        <v>45158</v>
      </c>
      <c r="R1120" s="1">
        <v>45165</v>
      </c>
      <c r="S1120" t="s">
        <v>2925</v>
      </c>
    </row>
    <row r="1121" spans="1:19" x14ac:dyDescent="0.3">
      <c r="A1121" s="1">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1">
        <v>45593</v>
      </c>
      <c r="R1121" s="1">
        <v>45602</v>
      </c>
      <c r="S1121" t="s">
        <v>2926</v>
      </c>
    </row>
    <row r="1122" spans="1:19" x14ac:dyDescent="0.3">
      <c r="A1122" s="1">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1">
        <v>45607</v>
      </c>
      <c r="R1122" s="1">
        <v>45617</v>
      </c>
      <c r="S1122" t="s">
        <v>2922</v>
      </c>
    </row>
    <row r="1123" spans="1:19" x14ac:dyDescent="0.3">
      <c r="A1123" s="1">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1">
        <v>45267</v>
      </c>
      <c r="R1123" s="1">
        <v>45275</v>
      </c>
      <c r="S1123" t="s">
        <v>2926</v>
      </c>
    </row>
    <row r="1124" spans="1:19" x14ac:dyDescent="0.3">
      <c r="A1124" s="1">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1">
        <v>45374</v>
      </c>
      <c r="R1124" s="1">
        <v>45384</v>
      </c>
      <c r="S1124" t="s">
        <v>2926</v>
      </c>
    </row>
    <row r="1125" spans="1:19" x14ac:dyDescent="0.3">
      <c r="A1125" s="1">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1">
        <v>45594</v>
      </c>
      <c r="R1125" s="1">
        <v>45598</v>
      </c>
      <c r="S1125" t="s">
        <v>2926</v>
      </c>
    </row>
    <row r="1126" spans="1:19" x14ac:dyDescent="0.3">
      <c r="A1126" s="1">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1">
        <v>45825</v>
      </c>
      <c r="R1126" s="1">
        <v>45830</v>
      </c>
      <c r="S1126" t="s">
        <v>2922</v>
      </c>
    </row>
    <row r="1127" spans="1:19" x14ac:dyDescent="0.3">
      <c r="A1127" s="1">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1">
        <v>45003</v>
      </c>
      <c r="R1127" s="1">
        <v>45011</v>
      </c>
      <c r="S1127" t="s">
        <v>2924</v>
      </c>
    </row>
    <row r="1128" spans="1:19" x14ac:dyDescent="0.3">
      <c r="A1128" s="1">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1">
        <v>44945</v>
      </c>
      <c r="R1128" s="1">
        <v>44949</v>
      </c>
      <c r="S1128" t="s">
        <v>2922</v>
      </c>
    </row>
    <row r="1129" spans="1:19" x14ac:dyDescent="0.3">
      <c r="A1129" s="1">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1">
        <v>45116</v>
      </c>
      <c r="R1129" s="1">
        <v>45121</v>
      </c>
      <c r="S1129" t="s">
        <v>2926</v>
      </c>
    </row>
    <row r="1130" spans="1:19" x14ac:dyDescent="0.3">
      <c r="A1130" s="1">
        <v>45732</v>
      </c>
      <c r="B1130" t="s">
        <v>19</v>
      </c>
      <c r="C1130" t="s">
        <v>24</v>
      </c>
      <c r="D1130">
        <v>14</v>
      </c>
      <c r="E1130">
        <v>459.61</v>
      </c>
      <c r="F1130" t="s">
        <v>31</v>
      </c>
      <c r="G1130" t="s">
        <v>36</v>
      </c>
      <c r="H1130">
        <v>0.05</v>
      </c>
      <c r="I1130" t="s">
        <v>39</v>
      </c>
      <c r="J1130">
        <v>6112.8130000000001</v>
      </c>
      <c r="K1130" t="s">
        <v>43</v>
      </c>
      <c r="L1130" t="s">
        <v>2927</v>
      </c>
      <c r="M1130">
        <v>1</v>
      </c>
      <c r="N1130" t="s">
        <v>1179</v>
      </c>
      <c r="O1130" t="s">
        <v>2606</v>
      </c>
      <c r="P1130">
        <v>43.41</v>
      </c>
      <c r="Q1130" s="1">
        <v>45732</v>
      </c>
      <c r="R1130" s="1">
        <v>45742</v>
      </c>
      <c r="S1130" t="s">
        <v>2922</v>
      </c>
    </row>
    <row r="1131" spans="1:19" x14ac:dyDescent="0.3">
      <c r="A1131" s="1">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1">
        <v>45696</v>
      </c>
      <c r="R1131" s="1">
        <v>45701</v>
      </c>
      <c r="S1131" t="s">
        <v>2924</v>
      </c>
    </row>
    <row r="1132" spans="1:19" x14ac:dyDescent="0.3">
      <c r="A1132" s="1">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1">
        <v>45402</v>
      </c>
      <c r="R1132" s="1">
        <v>45404</v>
      </c>
      <c r="S1132" t="s">
        <v>2923</v>
      </c>
    </row>
    <row r="1133" spans="1:19" x14ac:dyDescent="0.3">
      <c r="A1133" s="1">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1">
        <v>45813</v>
      </c>
      <c r="R1133" s="1">
        <v>45815</v>
      </c>
      <c r="S1133" t="s">
        <v>2922</v>
      </c>
    </row>
    <row r="1134" spans="1:19" x14ac:dyDescent="0.3">
      <c r="A1134" s="1">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1">
        <v>45772</v>
      </c>
      <c r="R1134" s="1">
        <v>45780</v>
      </c>
      <c r="S1134" t="s">
        <v>2923</v>
      </c>
    </row>
    <row r="1135" spans="1:19" x14ac:dyDescent="0.3">
      <c r="A1135" s="1">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1">
        <v>45175</v>
      </c>
      <c r="R1135" s="1">
        <v>45182</v>
      </c>
      <c r="S1135" t="s">
        <v>2925</v>
      </c>
    </row>
    <row r="1136" spans="1:19" x14ac:dyDescent="0.3">
      <c r="A1136" s="1">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1">
        <v>45198</v>
      </c>
      <c r="R1136" s="1">
        <v>45201</v>
      </c>
      <c r="S1136" t="s">
        <v>2922</v>
      </c>
    </row>
    <row r="1137" spans="1:19" x14ac:dyDescent="0.3">
      <c r="A1137" s="1">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1">
        <v>45433</v>
      </c>
      <c r="R1137" s="1">
        <v>45435</v>
      </c>
      <c r="S1137" t="s">
        <v>2925</v>
      </c>
    </row>
    <row r="1138" spans="1:19" x14ac:dyDescent="0.3">
      <c r="A1138" s="1">
        <v>45760</v>
      </c>
      <c r="B1138" t="s">
        <v>23</v>
      </c>
      <c r="C1138" t="s">
        <v>28</v>
      </c>
      <c r="D1138">
        <v>2</v>
      </c>
      <c r="E1138">
        <v>158.99</v>
      </c>
      <c r="F1138" t="s">
        <v>32</v>
      </c>
      <c r="G1138" t="s">
        <v>35</v>
      </c>
      <c r="H1138">
        <v>0</v>
      </c>
      <c r="I1138" t="s">
        <v>42</v>
      </c>
      <c r="J1138">
        <v>317.98</v>
      </c>
      <c r="K1138" t="s">
        <v>43</v>
      </c>
      <c r="L1138" t="s">
        <v>2927</v>
      </c>
      <c r="M1138">
        <v>0</v>
      </c>
      <c r="N1138" t="s">
        <v>1187</v>
      </c>
      <c r="O1138" t="s">
        <v>2613</v>
      </c>
      <c r="P1138">
        <v>48.32</v>
      </c>
      <c r="Q1138" s="1">
        <v>45760</v>
      </c>
      <c r="R1138" s="1">
        <v>45766</v>
      </c>
      <c r="S1138" t="s">
        <v>2926</v>
      </c>
    </row>
    <row r="1139" spans="1:19" x14ac:dyDescent="0.3">
      <c r="A1139" s="1">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1">
        <v>45612</v>
      </c>
      <c r="R1139" s="1">
        <v>45616</v>
      </c>
      <c r="S1139" t="s">
        <v>2922</v>
      </c>
    </row>
    <row r="1140" spans="1:19" x14ac:dyDescent="0.3">
      <c r="A1140" s="1">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1">
        <v>45493</v>
      </c>
      <c r="R1140" s="1">
        <v>45501</v>
      </c>
      <c r="S1140" t="s">
        <v>2924</v>
      </c>
    </row>
    <row r="1141" spans="1:19" x14ac:dyDescent="0.3">
      <c r="A1141" s="1">
        <v>45066</v>
      </c>
      <c r="B1141" t="s">
        <v>21</v>
      </c>
      <c r="C1141" t="s">
        <v>26</v>
      </c>
      <c r="D1141">
        <v>4</v>
      </c>
      <c r="E1141">
        <v>334.57</v>
      </c>
      <c r="F1141" t="s">
        <v>33</v>
      </c>
      <c r="G1141" t="s">
        <v>36</v>
      </c>
      <c r="H1141">
        <v>0.15</v>
      </c>
      <c r="I1141" t="s">
        <v>40</v>
      </c>
      <c r="J1141">
        <v>1137.538</v>
      </c>
      <c r="K1141" t="s">
        <v>44</v>
      </c>
      <c r="L1141" t="s">
        <v>2927</v>
      </c>
      <c r="M1141">
        <v>0</v>
      </c>
      <c r="N1141" t="s">
        <v>1190</v>
      </c>
      <c r="O1141" t="s">
        <v>2615</v>
      </c>
      <c r="P1141">
        <v>11.49</v>
      </c>
      <c r="Q1141" s="1">
        <v>45066</v>
      </c>
      <c r="R1141" s="1">
        <v>45073</v>
      </c>
      <c r="S1141" t="s">
        <v>2924</v>
      </c>
    </row>
    <row r="1142" spans="1:19" x14ac:dyDescent="0.3">
      <c r="A1142" s="1">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1">
        <v>45221</v>
      </c>
      <c r="R1142" s="1">
        <v>45225</v>
      </c>
      <c r="S1142" t="s">
        <v>2926</v>
      </c>
    </row>
    <row r="1143" spans="1:19" x14ac:dyDescent="0.3">
      <c r="A1143" s="1">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1">
        <v>45795</v>
      </c>
      <c r="R1143" s="1">
        <v>45798</v>
      </c>
      <c r="S1143" t="s">
        <v>2924</v>
      </c>
    </row>
    <row r="1144" spans="1:19" x14ac:dyDescent="0.3">
      <c r="A1144" s="1">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1">
        <v>45354</v>
      </c>
      <c r="R1144" s="1">
        <v>45357</v>
      </c>
      <c r="S1144" t="s">
        <v>2923</v>
      </c>
    </row>
    <row r="1145" spans="1:19" x14ac:dyDescent="0.3">
      <c r="A1145" s="1">
        <v>45130</v>
      </c>
      <c r="B1145" t="s">
        <v>19</v>
      </c>
      <c r="C1145" t="s">
        <v>26</v>
      </c>
      <c r="D1145">
        <v>6</v>
      </c>
      <c r="E1145">
        <v>358.27</v>
      </c>
      <c r="F1145" t="s">
        <v>31</v>
      </c>
      <c r="G1145" t="s">
        <v>36</v>
      </c>
      <c r="H1145">
        <v>0.1</v>
      </c>
      <c r="I1145" t="s">
        <v>39</v>
      </c>
      <c r="J1145">
        <v>1934.6579999999999</v>
      </c>
      <c r="K1145" t="s">
        <v>44</v>
      </c>
      <c r="L1145" t="s">
        <v>2927</v>
      </c>
      <c r="M1145">
        <v>0</v>
      </c>
      <c r="N1145" t="s">
        <v>1194</v>
      </c>
      <c r="O1145" t="s">
        <v>2556</v>
      </c>
      <c r="P1145">
        <v>7.34</v>
      </c>
      <c r="Q1145" s="1">
        <v>45130</v>
      </c>
      <c r="R1145" s="1">
        <v>45140</v>
      </c>
      <c r="S1145" t="s">
        <v>2922</v>
      </c>
    </row>
    <row r="1146" spans="1:19" x14ac:dyDescent="0.3">
      <c r="A1146" s="1">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1">
        <v>45697</v>
      </c>
      <c r="R1146" s="1">
        <v>45702</v>
      </c>
      <c r="S1146" t="s">
        <v>2924</v>
      </c>
    </row>
    <row r="1147" spans="1:19" x14ac:dyDescent="0.3">
      <c r="A1147" s="1">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1">
        <v>44943</v>
      </c>
      <c r="R1147" s="1">
        <v>44949</v>
      </c>
      <c r="S1147" t="s">
        <v>2923</v>
      </c>
    </row>
    <row r="1148" spans="1:19" x14ac:dyDescent="0.3">
      <c r="A1148" s="1">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1">
        <v>45186</v>
      </c>
      <c r="R1148" s="1">
        <v>45195</v>
      </c>
      <c r="S1148" t="s">
        <v>2924</v>
      </c>
    </row>
    <row r="1149" spans="1:19" x14ac:dyDescent="0.3">
      <c r="A1149" s="1">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1">
        <v>45703</v>
      </c>
      <c r="R1149" s="1">
        <v>45711</v>
      </c>
      <c r="S1149" t="s">
        <v>2924</v>
      </c>
    </row>
    <row r="1150" spans="1:19" x14ac:dyDescent="0.3">
      <c r="A1150" s="1">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1">
        <v>45206</v>
      </c>
      <c r="R1150" s="1">
        <v>45208</v>
      </c>
      <c r="S1150" t="s">
        <v>2926</v>
      </c>
    </row>
    <row r="1151" spans="1:19" x14ac:dyDescent="0.3">
      <c r="A1151" s="1">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1">
        <v>45146</v>
      </c>
      <c r="R1151" s="1">
        <v>45148</v>
      </c>
      <c r="S1151" t="s">
        <v>2926</v>
      </c>
    </row>
    <row r="1152" spans="1:19" x14ac:dyDescent="0.3">
      <c r="A1152" s="1">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1">
        <v>45159</v>
      </c>
      <c r="R1152" s="1">
        <v>45165</v>
      </c>
      <c r="S1152" t="s">
        <v>2922</v>
      </c>
    </row>
    <row r="1153" spans="1:19" x14ac:dyDescent="0.3">
      <c r="A1153" s="1">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1">
        <v>45480</v>
      </c>
      <c r="R1153" s="1">
        <v>45484</v>
      </c>
      <c r="S1153" t="s">
        <v>2924</v>
      </c>
    </row>
    <row r="1154" spans="1:19" x14ac:dyDescent="0.3">
      <c r="A1154" s="1">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1">
        <v>45674</v>
      </c>
      <c r="R1154" s="1">
        <v>45681</v>
      </c>
      <c r="S1154" t="s">
        <v>2923</v>
      </c>
    </row>
    <row r="1155" spans="1:19" x14ac:dyDescent="0.3">
      <c r="A1155" s="1">
        <v>45266</v>
      </c>
      <c r="B1155" t="s">
        <v>21</v>
      </c>
      <c r="C1155" t="s">
        <v>29</v>
      </c>
      <c r="D1155">
        <v>17</v>
      </c>
      <c r="E1155">
        <v>218.04</v>
      </c>
      <c r="F1155" t="s">
        <v>34</v>
      </c>
      <c r="G1155" t="s">
        <v>35</v>
      </c>
      <c r="H1155">
        <v>0.15</v>
      </c>
      <c r="I1155" t="s">
        <v>42</v>
      </c>
      <c r="J1155">
        <v>3150.6779999999999</v>
      </c>
      <c r="K1155" t="s">
        <v>47</v>
      </c>
      <c r="L1155" t="s">
        <v>2927</v>
      </c>
      <c r="M1155">
        <v>0</v>
      </c>
      <c r="N1155" t="s">
        <v>1204</v>
      </c>
      <c r="O1155" t="s">
        <v>2627</v>
      </c>
      <c r="P1155">
        <v>16</v>
      </c>
      <c r="Q1155" s="1">
        <v>45266</v>
      </c>
      <c r="R1155" s="1">
        <v>45276</v>
      </c>
      <c r="S1155" t="s">
        <v>2924</v>
      </c>
    </row>
    <row r="1156" spans="1:19" x14ac:dyDescent="0.3">
      <c r="A1156" s="1">
        <v>44986</v>
      </c>
      <c r="B1156" t="s">
        <v>20</v>
      </c>
      <c r="C1156" t="s">
        <v>26</v>
      </c>
      <c r="D1156">
        <v>2</v>
      </c>
      <c r="E1156">
        <v>153.33000000000001</v>
      </c>
      <c r="F1156" t="s">
        <v>33</v>
      </c>
      <c r="G1156" t="s">
        <v>35</v>
      </c>
      <c r="H1156">
        <v>0.05</v>
      </c>
      <c r="I1156" t="s">
        <v>40</v>
      </c>
      <c r="J1156">
        <v>291.327</v>
      </c>
      <c r="K1156" t="s">
        <v>47</v>
      </c>
      <c r="L1156" t="s">
        <v>2927</v>
      </c>
      <c r="M1156">
        <v>0</v>
      </c>
      <c r="N1156" t="s">
        <v>1205</v>
      </c>
      <c r="O1156" t="s">
        <v>2628</v>
      </c>
      <c r="P1156">
        <v>31.55</v>
      </c>
      <c r="Q1156" s="1">
        <v>44986</v>
      </c>
      <c r="R1156" s="1">
        <v>44989</v>
      </c>
      <c r="S1156" t="s">
        <v>2923</v>
      </c>
    </row>
    <row r="1157" spans="1:19" x14ac:dyDescent="0.3">
      <c r="A1157" s="1">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1">
        <v>45699</v>
      </c>
      <c r="R1157" s="1">
        <v>45703</v>
      </c>
      <c r="S1157" t="s">
        <v>2924</v>
      </c>
    </row>
    <row r="1158" spans="1:19" x14ac:dyDescent="0.3">
      <c r="A1158" s="1">
        <v>45097</v>
      </c>
      <c r="B1158" t="s">
        <v>22</v>
      </c>
      <c r="C1158" t="s">
        <v>30</v>
      </c>
      <c r="D1158">
        <v>13</v>
      </c>
      <c r="E1158">
        <v>153.57</v>
      </c>
      <c r="F1158" t="s">
        <v>31</v>
      </c>
      <c r="G1158" t="s">
        <v>35</v>
      </c>
      <c r="H1158">
        <v>0.05</v>
      </c>
      <c r="I1158" t="s">
        <v>40</v>
      </c>
      <c r="J1158">
        <v>1896.5895</v>
      </c>
      <c r="K1158" t="s">
        <v>44</v>
      </c>
      <c r="L1158" t="s">
        <v>2927</v>
      </c>
      <c r="M1158">
        <v>0</v>
      </c>
      <c r="N1158" t="s">
        <v>1207</v>
      </c>
      <c r="O1158" t="s">
        <v>2630</v>
      </c>
      <c r="P1158">
        <v>27.98</v>
      </c>
      <c r="Q1158" s="1">
        <v>45097</v>
      </c>
      <c r="R1158" s="1">
        <v>45102</v>
      </c>
      <c r="S1158" t="s">
        <v>2925</v>
      </c>
    </row>
    <row r="1159" spans="1:19" x14ac:dyDescent="0.3">
      <c r="A1159" s="1">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1">
        <v>45351</v>
      </c>
      <c r="R1159" s="1">
        <v>45354</v>
      </c>
      <c r="S1159" t="s">
        <v>2926</v>
      </c>
    </row>
    <row r="1160" spans="1:19" x14ac:dyDescent="0.3">
      <c r="A1160" s="1">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1">
        <v>45838</v>
      </c>
      <c r="R1160" s="1">
        <v>45843</v>
      </c>
      <c r="S1160" t="s">
        <v>2924</v>
      </c>
    </row>
    <row r="1161" spans="1:19" x14ac:dyDescent="0.3">
      <c r="A1161" s="1">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1">
        <v>45523</v>
      </c>
      <c r="R1161" s="1">
        <v>45529</v>
      </c>
      <c r="S1161" t="s">
        <v>2924</v>
      </c>
    </row>
    <row r="1162" spans="1:19" x14ac:dyDescent="0.3">
      <c r="A1162" s="1">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1">
        <v>45306</v>
      </c>
      <c r="R1162" s="1">
        <v>45310</v>
      </c>
      <c r="S1162" t="s">
        <v>2925</v>
      </c>
    </row>
    <row r="1163" spans="1:19" x14ac:dyDescent="0.3">
      <c r="A1163" s="1">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1">
        <v>45512</v>
      </c>
      <c r="R1163" s="1">
        <v>45515</v>
      </c>
      <c r="S1163" t="s">
        <v>2925</v>
      </c>
    </row>
    <row r="1164" spans="1:19" x14ac:dyDescent="0.3">
      <c r="A1164" s="1">
        <v>45570</v>
      </c>
      <c r="B1164" t="s">
        <v>23</v>
      </c>
      <c r="C1164" t="s">
        <v>25</v>
      </c>
      <c r="D1164">
        <v>12</v>
      </c>
      <c r="E1164">
        <v>535.41</v>
      </c>
      <c r="F1164" t="s">
        <v>33</v>
      </c>
      <c r="G1164" t="s">
        <v>36</v>
      </c>
      <c r="H1164">
        <v>0.1</v>
      </c>
      <c r="I1164" t="s">
        <v>39</v>
      </c>
      <c r="J1164">
        <v>5782.4279999999999</v>
      </c>
      <c r="K1164" t="s">
        <v>44</v>
      </c>
      <c r="L1164" t="s">
        <v>2927</v>
      </c>
      <c r="M1164">
        <v>0</v>
      </c>
      <c r="N1164" t="s">
        <v>1213</v>
      </c>
      <c r="O1164" t="s">
        <v>2636</v>
      </c>
      <c r="P1164">
        <v>27.82</v>
      </c>
      <c r="Q1164" s="1">
        <v>45570</v>
      </c>
      <c r="R1164" s="1">
        <v>45572</v>
      </c>
      <c r="S1164" t="s">
        <v>2926</v>
      </c>
    </row>
    <row r="1165" spans="1:19" x14ac:dyDescent="0.3">
      <c r="A1165" s="1">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1">
        <v>45304</v>
      </c>
      <c r="R1165" s="1">
        <v>45312</v>
      </c>
      <c r="S1165" t="s">
        <v>2923</v>
      </c>
    </row>
    <row r="1166" spans="1:19" x14ac:dyDescent="0.3">
      <c r="A1166" s="1">
        <v>45014</v>
      </c>
      <c r="B1166" t="s">
        <v>23</v>
      </c>
      <c r="C1166" t="s">
        <v>24</v>
      </c>
      <c r="D1166">
        <v>18</v>
      </c>
      <c r="E1166">
        <v>176.32</v>
      </c>
      <c r="F1166" t="s">
        <v>31</v>
      </c>
      <c r="G1166" t="s">
        <v>35</v>
      </c>
      <c r="H1166">
        <v>0.05</v>
      </c>
      <c r="I1166" t="s">
        <v>41</v>
      </c>
      <c r="J1166">
        <v>3015.0720000000001</v>
      </c>
      <c r="K1166" t="s">
        <v>46</v>
      </c>
      <c r="L1166" t="s">
        <v>2927</v>
      </c>
      <c r="M1166">
        <v>0</v>
      </c>
      <c r="N1166" t="s">
        <v>1215</v>
      </c>
      <c r="O1166" t="s">
        <v>2638</v>
      </c>
      <c r="P1166">
        <v>36.35</v>
      </c>
      <c r="Q1166" s="1">
        <v>45014</v>
      </c>
      <c r="R1166" s="1">
        <v>45020</v>
      </c>
      <c r="S1166" t="s">
        <v>2926</v>
      </c>
    </row>
    <row r="1167" spans="1:19" x14ac:dyDescent="0.3">
      <c r="A1167" s="1">
        <v>45218</v>
      </c>
      <c r="B1167" t="s">
        <v>21</v>
      </c>
      <c r="C1167" t="s">
        <v>30</v>
      </c>
      <c r="D1167">
        <v>5</v>
      </c>
      <c r="E1167">
        <v>112.44</v>
      </c>
      <c r="F1167" t="s">
        <v>34</v>
      </c>
      <c r="G1167" t="s">
        <v>36</v>
      </c>
      <c r="H1167">
        <v>0.1</v>
      </c>
      <c r="I1167" t="s">
        <v>42</v>
      </c>
      <c r="J1167">
        <v>505.98000000000008</v>
      </c>
      <c r="K1167" t="s">
        <v>45</v>
      </c>
      <c r="L1167" t="s">
        <v>2927</v>
      </c>
      <c r="M1167">
        <v>1</v>
      </c>
      <c r="N1167" t="s">
        <v>1216</v>
      </c>
      <c r="O1167" t="s">
        <v>1703</v>
      </c>
      <c r="P1167">
        <v>7.46</v>
      </c>
      <c r="Q1167" s="1">
        <v>45218</v>
      </c>
      <c r="R1167" s="1">
        <v>45222</v>
      </c>
      <c r="S1167" t="s">
        <v>2924</v>
      </c>
    </row>
    <row r="1168" spans="1:19" x14ac:dyDescent="0.3">
      <c r="A1168" s="1">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1">
        <v>45222</v>
      </c>
      <c r="R1168" s="1">
        <v>45231</v>
      </c>
      <c r="S1168" t="s">
        <v>2926</v>
      </c>
    </row>
    <row r="1169" spans="1:19" x14ac:dyDescent="0.3">
      <c r="A1169" s="1">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1">
        <v>45009</v>
      </c>
      <c r="R1169" s="1">
        <v>45013</v>
      </c>
      <c r="S1169" t="s">
        <v>2923</v>
      </c>
    </row>
    <row r="1170" spans="1:19" x14ac:dyDescent="0.3">
      <c r="A1170" s="1">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1">
        <v>45513</v>
      </c>
      <c r="R1170" s="1">
        <v>45518</v>
      </c>
      <c r="S1170" t="s">
        <v>2926</v>
      </c>
    </row>
    <row r="1171" spans="1:19" x14ac:dyDescent="0.3">
      <c r="A1171" s="1">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1">
        <v>45042</v>
      </c>
      <c r="R1171" s="1">
        <v>45052</v>
      </c>
      <c r="S1171" t="s">
        <v>2923</v>
      </c>
    </row>
    <row r="1172" spans="1:19" x14ac:dyDescent="0.3">
      <c r="A1172" s="1">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1">
        <v>45355</v>
      </c>
      <c r="R1172" s="1">
        <v>45363</v>
      </c>
      <c r="S1172" t="s">
        <v>2926</v>
      </c>
    </row>
    <row r="1173" spans="1:19" x14ac:dyDescent="0.3">
      <c r="A1173" s="1">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1">
        <v>44971</v>
      </c>
      <c r="R1173" s="1">
        <v>44974</v>
      </c>
      <c r="S1173" t="s">
        <v>2922</v>
      </c>
    </row>
    <row r="1174" spans="1:19" x14ac:dyDescent="0.3">
      <c r="A1174" s="1">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1">
        <v>45044</v>
      </c>
      <c r="R1174" s="1">
        <v>45049</v>
      </c>
      <c r="S1174" t="s">
        <v>2926</v>
      </c>
    </row>
    <row r="1175" spans="1:19" x14ac:dyDescent="0.3">
      <c r="A1175" s="1">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1">
        <v>45354</v>
      </c>
      <c r="R1175" s="1">
        <v>45362</v>
      </c>
      <c r="S1175" t="s">
        <v>2924</v>
      </c>
    </row>
    <row r="1176" spans="1:19" x14ac:dyDescent="0.3">
      <c r="A1176" s="1">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1">
        <v>45539</v>
      </c>
      <c r="R1176" s="1">
        <v>45543</v>
      </c>
      <c r="S1176" t="s">
        <v>2926</v>
      </c>
    </row>
    <row r="1177" spans="1:19" x14ac:dyDescent="0.3">
      <c r="A1177" s="1">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1">
        <v>45656</v>
      </c>
      <c r="R1177" s="1">
        <v>45664</v>
      </c>
      <c r="S1177" t="s">
        <v>2922</v>
      </c>
    </row>
    <row r="1178" spans="1:19" x14ac:dyDescent="0.3">
      <c r="A1178" s="1">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1">
        <v>45332</v>
      </c>
      <c r="R1178" s="1">
        <v>45338</v>
      </c>
      <c r="S1178" t="s">
        <v>2922</v>
      </c>
    </row>
    <row r="1179" spans="1:19" x14ac:dyDescent="0.3">
      <c r="A1179" s="1">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1">
        <v>45176</v>
      </c>
      <c r="R1179" s="1">
        <v>45184</v>
      </c>
      <c r="S1179" t="s">
        <v>2925</v>
      </c>
    </row>
    <row r="1180" spans="1:19" x14ac:dyDescent="0.3">
      <c r="A1180" s="1">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1">
        <v>45149</v>
      </c>
      <c r="R1180" s="1">
        <v>45153</v>
      </c>
      <c r="S1180" t="s">
        <v>2922</v>
      </c>
    </row>
    <row r="1181" spans="1:19" x14ac:dyDescent="0.3">
      <c r="A1181" s="1">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1">
        <v>44997</v>
      </c>
      <c r="R1181" s="1">
        <v>45001</v>
      </c>
      <c r="S1181" t="s">
        <v>2926</v>
      </c>
    </row>
    <row r="1182" spans="1:19" x14ac:dyDescent="0.3">
      <c r="A1182" s="1">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1">
        <v>45014</v>
      </c>
      <c r="R1182" s="1">
        <v>45016</v>
      </c>
      <c r="S1182" t="s">
        <v>2925</v>
      </c>
    </row>
    <row r="1183" spans="1:19" x14ac:dyDescent="0.3">
      <c r="A1183" s="1">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1">
        <v>45705</v>
      </c>
      <c r="R1183" s="1">
        <v>45715</v>
      </c>
      <c r="S1183" t="s">
        <v>2923</v>
      </c>
    </row>
    <row r="1184" spans="1:19" x14ac:dyDescent="0.3">
      <c r="A1184" s="1">
        <v>45298</v>
      </c>
      <c r="B1184" t="s">
        <v>21</v>
      </c>
      <c r="C1184" t="s">
        <v>27</v>
      </c>
      <c r="D1184">
        <v>5</v>
      </c>
      <c r="E1184">
        <v>454.62</v>
      </c>
      <c r="F1184" t="s">
        <v>33</v>
      </c>
      <c r="G1184" t="s">
        <v>35</v>
      </c>
      <c r="H1184">
        <v>0.05</v>
      </c>
      <c r="I1184" t="s">
        <v>41</v>
      </c>
      <c r="J1184">
        <v>2159.4450000000002</v>
      </c>
      <c r="K1184" t="s">
        <v>44</v>
      </c>
      <c r="L1184" t="s">
        <v>2927</v>
      </c>
      <c r="M1184">
        <v>0</v>
      </c>
      <c r="N1184" t="s">
        <v>1233</v>
      </c>
      <c r="O1184" t="s">
        <v>2655</v>
      </c>
      <c r="P1184">
        <v>10.19</v>
      </c>
      <c r="Q1184" s="1">
        <v>45298</v>
      </c>
      <c r="R1184" s="1">
        <v>45306</v>
      </c>
      <c r="S1184" t="s">
        <v>2924</v>
      </c>
    </row>
    <row r="1185" spans="1:19" x14ac:dyDescent="0.3">
      <c r="A1185" s="1">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1">
        <v>44940</v>
      </c>
      <c r="R1185" s="1">
        <v>44946</v>
      </c>
      <c r="S1185" t="s">
        <v>2922</v>
      </c>
    </row>
    <row r="1186" spans="1:19" x14ac:dyDescent="0.3">
      <c r="A1186" s="1">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1">
        <v>45294</v>
      </c>
      <c r="R1186" s="1">
        <v>45303</v>
      </c>
      <c r="S1186" t="s">
        <v>2926</v>
      </c>
    </row>
    <row r="1187" spans="1:19" x14ac:dyDescent="0.3">
      <c r="A1187" s="1">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1">
        <v>45163</v>
      </c>
      <c r="R1187" s="1">
        <v>45166</v>
      </c>
      <c r="S1187" t="s">
        <v>2923</v>
      </c>
    </row>
    <row r="1188" spans="1:19" x14ac:dyDescent="0.3">
      <c r="A1188" s="1">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1">
        <v>45793</v>
      </c>
      <c r="R1188" s="1">
        <v>45802</v>
      </c>
      <c r="S1188" t="s">
        <v>2924</v>
      </c>
    </row>
    <row r="1189" spans="1:19" x14ac:dyDescent="0.3">
      <c r="A1189" s="1">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1">
        <v>45290</v>
      </c>
      <c r="R1189" s="1">
        <v>45294</v>
      </c>
      <c r="S1189" t="s">
        <v>2923</v>
      </c>
    </row>
    <row r="1190" spans="1:19" x14ac:dyDescent="0.3">
      <c r="A1190" s="1">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1">
        <v>45571</v>
      </c>
      <c r="R1190" s="1">
        <v>45574</v>
      </c>
      <c r="S1190" t="s">
        <v>2923</v>
      </c>
    </row>
    <row r="1191" spans="1:19" x14ac:dyDescent="0.3">
      <c r="A1191" s="1">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1">
        <v>44997</v>
      </c>
      <c r="R1191" s="1">
        <v>45007</v>
      </c>
      <c r="S1191" t="s">
        <v>2925</v>
      </c>
    </row>
    <row r="1192" spans="1:19" x14ac:dyDescent="0.3">
      <c r="A1192" s="1">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1">
        <v>45388</v>
      </c>
      <c r="R1192" s="1">
        <v>45390</v>
      </c>
      <c r="S1192" t="s">
        <v>2924</v>
      </c>
    </row>
    <row r="1193" spans="1:19" x14ac:dyDescent="0.3">
      <c r="A1193" s="1">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1">
        <v>44946</v>
      </c>
      <c r="R1193" s="1">
        <v>44951</v>
      </c>
      <c r="S1193" t="s">
        <v>2924</v>
      </c>
    </row>
    <row r="1194" spans="1:19" x14ac:dyDescent="0.3">
      <c r="A1194" s="1">
        <v>45481</v>
      </c>
      <c r="B1194" t="s">
        <v>23</v>
      </c>
      <c r="C1194" t="s">
        <v>24</v>
      </c>
      <c r="D1194">
        <v>15</v>
      </c>
      <c r="E1194">
        <v>77.89</v>
      </c>
      <c r="F1194" t="s">
        <v>31</v>
      </c>
      <c r="G1194" t="s">
        <v>35</v>
      </c>
      <c r="H1194">
        <v>0.05</v>
      </c>
      <c r="I1194" t="s">
        <v>41</v>
      </c>
      <c r="J1194">
        <v>1109.9324999999999</v>
      </c>
      <c r="K1194" t="s">
        <v>45</v>
      </c>
      <c r="L1194" t="s">
        <v>2927</v>
      </c>
      <c r="M1194">
        <v>0</v>
      </c>
      <c r="N1194" t="s">
        <v>1243</v>
      </c>
      <c r="O1194" t="s">
        <v>2664</v>
      </c>
      <c r="P1194">
        <v>20.87</v>
      </c>
      <c r="Q1194" s="1">
        <v>45481</v>
      </c>
      <c r="R1194" s="1">
        <v>45485</v>
      </c>
      <c r="S1194" t="s">
        <v>2926</v>
      </c>
    </row>
    <row r="1195" spans="1:19" x14ac:dyDescent="0.3">
      <c r="A1195" s="1">
        <v>45205</v>
      </c>
      <c r="B1195" t="s">
        <v>21</v>
      </c>
      <c r="C1195" t="s">
        <v>25</v>
      </c>
      <c r="D1195">
        <v>12</v>
      </c>
      <c r="E1195">
        <v>11.95</v>
      </c>
      <c r="F1195" t="s">
        <v>32</v>
      </c>
      <c r="G1195" t="s">
        <v>36</v>
      </c>
      <c r="H1195">
        <v>0.05</v>
      </c>
      <c r="I1195" t="s">
        <v>40</v>
      </c>
      <c r="J1195">
        <v>136.22999999999999</v>
      </c>
      <c r="K1195" t="s">
        <v>43</v>
      </c>
      <c r="L1195" t="s">
        <v>2927</v>
      </c>
      <c r="M1195">
        <v>0</v>
      </c>
      <c r="N1195" t="s">
        <v>1244</v>
      </c>
      <c r="O1195" t="s">
        <v>2665</v>
      </c>
      <c r="P1195">
        <v>26.66</v>
      </c>
      <c r="Q1195" s="1">
        <v>45205</v>
      </c>
      <c r="R1195" s="1">
        <v>45215</v>
      </c>
      <c r="S1195" t="s">
        <v>2924</v>
      </c>
    </row>
    <row r="1196" spans="1:19" x14ac:dyDescent="0.3">
      <c r="A1196" s="1">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1">
        <v>45180</v>
      </c>
      <c r="R1196" s="1">
        <v>45187</v>
      </c>
      <c r="S1196" t="s">
        <v>2922</v>
      </c>
    </row>
    <row r="1197" spans="1:19" x14ac:dyDescent="0.3">
      <c r="A1197" s="1">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1">
        <v>45183</v>
      </c>
      <c r="R1197" s="1">
        <v>45188</v>
      </c>
      <c r="S1197" t="s">
        <v>2924</v>
      </c>
    </row>
    <row r="1198" spans="1:19" x14ac:dyDescent="0.3">
      <c r="A1198" s="1">
        <v>45236</v>
      </c>
      <c r="B1198" t="s">
        <v>21</v>
      </c>
      <c r="C1198" t="s">
        <v>30</v>
      </c>
      <c r="D1198">
        <v>16</v>
      </c>
      <c r="E1198">
        <v>114.47</v>
      </c>
      <c r="F1198" t="s">
        <v>31</v>
      </c>
      <c r="G1198" t="s">
        <v>35</v>
      </c>
      <c r="H1198">
        <v>0.15</v>
      </c>
      <c r="I1198" t="s">
        <v>40</v>
      </c>
      <c r="J1198">
        <v>1556.7919999999999</v>
      </c>
      <c r="K1198" t="s">
        <v>43</v>
      </c>
      <c r="L1198" t="s">
        <v>2927</v>
      </c>
      <c r="M1198">
        <v>0</v>
      </c>
      <c r="N1198" t="s">
        <v>1247</v>
      </c>
      <c r="O1198" t="s">
        <v>1760</v>
      </c>
      <c r="P1198">
        <v>43.85</v>
      </c>
      <c r="Q1198" s="1">
        <v>45236</v>
      </c>
      <c r="R1198" s="1">
        <v>45241</v>
      </c>
      <c r="S1198" t="s">
        <v>2924</v>
      </c>
    </row>
    <row r="1199" spans="1:19" x14ac:dyDescent="0.3">
      <c r="A1199" s="1">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1">
        <v>45466</v>
      </c>
      <c r="R1199" s="1">
        <v>45473</v>
      </c>
      <c r="S1199" t="s">
        <v>2924</v>
      </c>
    </row>
    <row r="1200" spans="1:19" x14ac:dyDescent="0.3">
      <c r="A1200" s="1">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1">
        <v>45015</v>
      </c>
      <c r="R1200" s="1">
        <v>45025</v>
      </c>
      <c r="S1200" t="s">
        <v>2926</v>
      </c>
    </row>
    <row r="1201" spans="1:19" x14ac:dyDescent="0.3">
      <c r="A1201" s="1">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1">
        <v>45570</v>
      </c>
      <c r="R1201" s="1">
        <v>45580</v>
      </c>
      <c r="S1201" t="s">
        <v>2922</v>
      </c>
    </row>
    <row r="1202" spans="1:19" x14ac:dyDescent="0.3">
      <c r="A1202" s="1">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1">
        <v>45004</v>
      </c>
      <c r="R1202" s="1">
        <v>45014</v>
      </c>
      <c r="S1202" t="s">
        <v>2925</v>
      </c>
    </row>
    <row r="1203" spans="1:19" x14ac:dyDescent="0.3">
      <c r="A1203" s="1">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1">
        <v>45733</v>
      </c>
      <c r="R1203" s="1">
        <v>45737</v>
      </c>
      <c r="S1203" t="s">
        <v>2924</v>
      </c>
    </row>
    <row r="1204" spans="1:19" x14ac:dyDescent="0.3">
      <c r="A1204" s="1">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1">
        <v>45644</v>
      </c>
      <c r="R1204" s="1">
        <v>45654</v>
      </c>
      <c r="S1204" t="s">
        <v>2925</v>
      </c>
    </row>
    <row r="1205" spans="1:19" x14ac:dyDescent="0.3">
      <c r="A1205" s="1">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1">
        <v>45663</v>
      </c>
      <c r="R1205" s="1">
        <v>45665</v>
      </c>
      <c r="S1205" t="s">
        <v>2926</v>
      </c>
    </row>
    <row r="1206" spans="1:19" x14ac:dyDescent="0.3">
      <c r="A1206" s="1">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1">
        <v>45671</v>
      </c>
      <c r="R1206" s="1">
        <v>45677</v>
      </c>
      <c r="S1206" t="s">
        <v>2925</v>
      </c>
    </row>
    <row r="1207" spans="1:19" x14ac:dyDescent="0.3">
      <c r="A1207" s="1">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1">
        <v>44952</v>
      </c>
      <c r="R1207" s="1">
        <v>44956</v>
      </c>
      <c r="S1207" t="s">
        <v>2923</v>
      </c>
    </row>
    <row r="1208" spans="1:19" x14ac:dyDescent="0.3">
      <c r="A1208" s="1">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1">
        <v>45508</v>
      </c>
      <c r="R1208" s="1">
        <v>45518</v>
      </c>
      <c r="S1208" t="s">
        <v>2924</v>
      </c>
    </row>
    <row r="1209" spans="1:19" x14ac:dyDescent="0.3">
      <c r="A1209" s="1">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1">
        <v>45335</v>
      </c>
      <c r="R1209" s="1">
        <v>45338</v>
      </c>
      <c r="S1209" t="s">
        <v>2924</v>
      </c>
    </row>
    <row r="1210" spans="1:19" x14ac:dyDescent="0.3">
      <c r="A1210" s="1">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1">
        <v>44968</v>
      </c>
      <c r="R1210" s="1">
        <v>44971</v>
      </c>
      <c r="S1210" t="s">
        <v>2925</v>
      </c>
    </row>
    <row r="1211" spans="1:19" x14ac:dyDescent="0.3">
      <c r="A1211" s="1">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1">
        <v>45460</v>
      </c>
      <c r="R1211" s="1">
        <v>45465</v>
      </c>
      <c r="S1211" t="s">
        <v>2922</v>
      </c>
    </row>
    <row r="1212" spans="1:19" x14ac:dyDescent="0.3">
      <c r="A1212" s="1">
        <v>45449</v>
      </c>
      <c r="B1212" t="s">
        <v>20</v>
      </c>
      <c r="C1212" t="s">
        <v>24</v>
      </c>
      <c r="D1212">
        <v>1</v>
      </c>
      <c r="E1212">
        <v>354.21</v>
      </c>
      <c r="F1212" t="s">
        <v>32</v>
      </c>
      <c r="G1212" t="s">
        <v>35</v>
      </c>
      <c r="H1212">
        <v>0.15</v>
      </c>
      <c r="I1212" t="s">
        <v>40</v>
      </c>
      <c r="J1212">
        <v>301.07850000000002</v>
      </c>
      <c r="K1212" t="s">
        <v>43</v>
      </c>
      <c r="L1212" t="s">
        <v>2927</v>
      </c>
      <c r="M1212">
        <v>0</v>
      </c>
      <c r="N1212" t="s">
        <v>1261</v>
      </c>
      <c r="O1212" t="s">
        <v>2680</v>
      </c>
      <c r="P1212">
        <v>26.16</v>
      </c>
      <c r="Q1212" s="1">
        <v>45449</v>
      </c>
      <c r="R1212" s="1">
        <v>45455</v>
      </c>
      <c r="S1212" t="s">
        <v>2923</v>
      </c>
    </row>
    <row r="1213" spans="1:19" x14ac:dyDescent="0.3">
      <c r="A1213" s="1">
        <v>45256</v>
      </c>
      <c r="B1213" t="s">
        <v>20</v>
      </c>
      <c r="C1213" t="s">
        <v>27</v>
      </c>
      <c r="D1213">
        <v>18</v>
      </c>
      <c r="E1213">
        <v>250.93</v>
      </c>
      <c r="F1213" t="s">
        <v>33</v>
      </c>
      <c r="G1213" t="s">
        <v>35</v>
      </c>
      <c r="H1213">
        <v>0.05</v>
      </c>
      <c r="I1213" t="s">
        <v>42</v>
      </c>
      <c r="J1213">
        <v>4290.9029999999993</v>
      </c>
      <c r="K1213" t="s">
        <v>44</v>
      </c>
      <c r="L1213" t="s">
        <v>2927</v>
      </c>
      <c r="M1213">
        <v>0</v>
      </c>
      <c r="N1213" t="s">
        <v>1262</v>
      </c>
      <c r="O1213" t="s">
        <v>2681</v>
      </c>
      <c r="P1213">
        <v>47.67</v>
      </c>
      <c r="Q1213" s="1">
        <v>45256</v>
      </c>
      <c r="R1213" s="1">
        <v>45262</v>
      </c>
      <c r="S1213" t="s">
        <v>2923</v>
      </c>
    </row>
    <row r="1214" spans="1:19" x14ac:dyDescent="0.3">
      <c r="A1214" s="1">
        <v>45389</v>
      </c>
      <c r="B1214" t="s">
        <v>23</v>
      </c>
      <c r="C1214" t="s">
        <v>30</v>
      </c>
      <c r="D1214">
        <v>18</v>
      </c>
      <c r="E1214">
        <v>587.25</v>
      </c>
      <c r="F1214" t="s">
        <v>33</v>
      </c>
      <c r="G1214" t="s">
        <v>35</v>
      </c>
      <c r="H1214">
        <v>0.15</v>
      </c>
      <c r="I1214" t="s">
        <v>40</v>
      </c>
      <c r="J1214">
        <v>8984.9249999999993</v>
      </c>
      <c r="K1214" t="s">
        <v>43</v>
      </c>
      <c r="L1214" t="s">
        <v>2927</v>
      </c>
      <c r="M1214">
        <v>0</v>
      </c>
      <c r="N1214" t="s">
        <v>1263</v>
      </c>
      <c r="O1214" t="s">
        <v>2682</v>
      </c>
      <c r="P1214">
        <v>42.15</v>
      </c>
      <c r="Q1214" s="1">
        <v>45389</v>
      </c>
      <c r="R1214" s="1">
        <v>45391</v>
      </c>
      <c r="S1214" t="s">
        <v>2926</v>
      </c>
    </row>
    <row r="1215" spans="1:19" x14ac:dyDescent="0.3">
      <c r="A1215" s="1">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1">
        <v>44960</v>
      </c>
      <c r="R1215" s="1">
        <v>44966</v>
      </c>
      <c r="S1215" t="s">
        <v>2926</v>
      </c>
    </row>
    <row r="1216" spans="1:19" x14ac:dyDescent="0.3">
      <c r="A1216" s="1">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1">
        <v>45621</v>
      </c>
      <c r="R1216" s="1">
        <v>45626</v>
      </c>
      <c r="S1216" t="s">
        <v>2922</v>
      </c>
    </row>
    <row r="1217" spans="1:19" x14ac:dyDescent="0.3">
      <c r="A1217" s="1">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1">
        <v>45473</v>
      </c>
      <c r="R1217" s="1">
        <v>45476</v>
      </c>
      <c r="S1217" t="s">
        <v>2924</v>
      </c>
    </row>
    <row r="1218" spans="1:19" x14ac:dyDescent="0.3">
      <c r="A1218" s="1">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1">
        <v>45140</v>
      </c>
      <c r="R1218" s="1">
        <v>45149</v>
      </c>
      <c r="S1218" t="s">
        <v>2923</v>
      </c>
    </row>
    <row r="1219" spans="1:19" x14ac:dyDescent="0.3">
      <c r="A1219" s="1">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1">
        <v>45344</v>
      </c>
      <c r="R1219" s="1">
        <v>45349</v>
      </c>
      <c r="S1219" t="s">
        <v>2923</v>
      </c>
    </row>
    <row r="1220" spans="1:19" x14ac:dyDescent="0.3">
      <c r="A1220" s="1">
        <v>45625</v>
      </c>
      <c r="B1220" t="s">
        <v>21</v>
      </c>
      <c r="C1220" t="s">
        <v>28</v>
      </c>
      <c r="D1220">
        <v>15</v>
      </c>
      <c r="E1220">
        <v>570</v>
      </c>
      <c r="F1220" t="s">
        <v>34</v>
      </c>
      <c r="G1220" t="s">
        <v>35</v>
      </c>
      <c r="H1220">
        <v>0.05</v>
      </c>
      <c r="I1220" t="s">
        <v>39</v>
      </c>
      <c r="J1220">
        <v>8122.5</v>
      </c>
      <c r="K1220" t="s">
        <v>44</v>
      </c>
      <c r="L1220" t="s">
        <v>2927</v>
      </c>
      <c r="M1220">
        <v>0</v>
      </c>
      <c r="N1220" t="s">
        <v>1269</v>
      </c>
      <c r="O1220" t="s">
        <v>2688</v>
      </c>
      <c r="P1220">
        <v>7.62</v>
      </c>
      <c r="Q1220" s="1">
        <v>45625</v>
      </c>
      <c r="R1220" s="1">
        <v>45635</v>
      </c>
      <c r="S1220" t="s">
        <v>2924</v>
      </c>
    </row>
    <row r="1221" spans="1:19" x14ac:dyDescent="0.3">
      <c r="A1221" s="1">
        <v>45128</v>
      </c>
      <c r="B1221" t="s">
        <v>21</v>
      </c>
      <c r="C1221" t="s">
        <v>28</v>
      </c>
      <c r="D1221">
        <v>9</v>
      </c>
      <c r="E1221">
        <v>587.79</v>
      </c>
      <c r="F1221" t="s">
        <v>34</v>
      </c>
      <c r="G1221" t="s">
        <v>35</v>
      </c>
      <c r="H1221">
        <v>0.15</v>
      </c>
      <c r="I1221" t="s">
        <v>42</v>
      </c>
      <c r="J1221">
        <v>4496.5934999999999</v>
      </c>
      <c r="K1221" t="s">
        <v>43</v>
      </c>
      <c r="L1221" t="s">
        <v>2927</v>
      </c>
      <c r="M1221">
        <v>0</v>
      </c>
      <c r="N1221" t="s">
        <v>1270</v>
      </c>
      <c r="O1221" t="s">
        <v>2689</v>
      </c>
      <c r="P1221">
        <v>24.64</v>
      </c>
      <c r="Q1221" s="1">
        <v>45128</v>
      </c>
      <c r="R1221" s="1">
        <v>45138</v>
      </c>
      <c r="S1221" t="s">
        <v>2924</v>
      </c>
    </row>
    <row r="1222" spans="1:19" x14ac:dyDescent="0.3">
      <c r="A1222" s="1">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1">
        <v>45030</v>
      </c>
      <c r="R1222" s="1">
        <v>45033</v>
      </c>
      <c r="S1222" t="s">
        <v>2925</v>
      </c>
    </row>
    <row r="1223" spans="1:19" x14ac:dyDescent="0.3">
      <c r="A1223" s="1">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1">
        <v>44958</v>
      </c>
      <c r="R1223" s="1">
        <v>44962</v>
      </c>
      <c r="S1223" t="s">
        <v>2924</v>
      </c>
    </row>
    <row r="1224" spans="1:19" x14ac:dyDescent="0.3">
      <c r="A1224" s="1">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1">
        <v>45473</v>
      </c>
      <c r="R1224" s="1">
        <v>45478</v>
      </c>
      <c r="S1224" t="s">
        <v>2922</v>
      </c>
    </row>
    <row r="1225" spans="1:19" x14ac:dyDescent="0.3">
      <c r="A1225" s="1">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1">
        <v>45217</v>
      </c>
      <c r="R1225" s="1">
        <v>45220</v>
      </c>
      <c r="S1225" t="s">
        <v>2925</v>
      </c>
    </row>
    <row r="1226" spans="1:19" x14ac:dyDescent="0.3">
      <c r="A1226" s="1">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1">
        <v>45477</v>
      </c>
      <c r="R1226" s="1">
        <v>45486</v>
      </c>
      <c r="S1226" t="s">
        <v>2922</v>
      </c>
    </row>
    <row r="1227" spans="1:19" x14ac:dyDescent="0.3">
      <c r="A1227" s="1">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1">
        <v>45477</v>
      </c>
      <c r="R1227" s="1">
        <v>45485</v>
      </c>
      <c r="S1227" t="s">
        <v>2922</v>
      </c>
    </row>
    <row r="1228" spans="1:19" x14ac:dyDescent="0.3">
      <c r="A1228" s="1">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1">
        <v>45134</v>
      </c>
      <c r="R1228" s="1">
        <v>45140</v>
      </c>
      <c r="S1228" t="s">
        <v>2924</v>
      </c>
    </row>
    <row r="1229" spans="1:19" x14ac:dyDescent="0.3">
      <c r="A1229" s="1">
        <v>45717</v>
      </c>
      <c r="B1229" t="s">
        <v>23</v>
      </c>
      <c r="C1229" t="s">
        <v>26</v>
      </c>
      <c r="D1229">
        <v>4</v>
      </c>
      <c r="E1229">
        <v>209.3</v>
      </c>
      <c r="F1229" t="s">
        <v>31</v>
      </c>
      <c r="G1229" t="s">
        <v>36</v>
      </c>
      <c r="H1229">
        <v>0.05</v>
      </c>
      <c r="I1229" t="s">
        <v>38</v>
      </c>
      <c r="J1229">
        <v>795.34</v>
      </c>
      <c r="K1229" t="s">
        <v>44</v>
      </c>
      <c r="L1229" t="s">
        <v>2927</v>
      </c>
      <c r="M1229">
        <v>0</v>
      </c>
      <c r="N1229" t="s">
        <v>1278</v>
      </c>
      <c r="O1229" t="s">
        <v>2697</v>
      </c>
      <c r="P1229">
        <v>6.89</v>
      </c>
      <c r="Q1229" s="1">
        <v>45717</v>
      </c>
      <c r="R1229" s="1">
        <v>45722</v>
      </c>
      <c r="S1229" t="s">
        <v>2926</v>
      </c>
    </row>
    <row r="1230" spans="1:19" x14ac:dyDescent="0.3">
      <c r="A1230" s="1">
        <v>44980</v>
      </c>
      <c r="B1230" t="s">
        <v>22</v>
      </c>
      <c r="C1230" t="s">
        <v>26</v>
      </c>
      <c r="D1230">
        <v>16</v>
      </c>
      <c r="E1230">
        <v>326.16000000000003</v>
      </c>
      <c r="F1230" t="s">
        <v>33</v>
      </c>
      <c r="G1230" t="s">
        <v>35</v>
      </c>
      <c r="H1230">
        <v>0.1</v>
      </c>
      <c r="I1230" t="s">
        <v>39</v>
      </c>
      <c r="J1230">
        <v>4696.7040000000006</v>
      </c>
      <c r="K1230" t="s">
        <v>45</v>
      </c>
      <c r="L1230" t="s">
        <v>2927</v>
      </c>
      <c r="M1230">
        <v>0</v>
      </c>
      <c r="N1230" t="s">
        <v>1279</v>
      </c>
      <c r="O1230" t="s">
        <v>2698</v>
      </c>
      <c r="P1230">
        <v>44.3</v>
      </c>
      <c r="Q1230" s="1">
        <v>44980</v>
      </c>
      <c r="R1230" s="1">
        <v>44982</v>
      </c>
      <c r="S1230" t="s">
        <v>2925</v>
      </c>
    </row>
    <row r="1231" spans="1:19" x14ac:dyDescent="0.3">
      <c r="A1231" s="1">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1">
        <v>44937</v>
      </c>
      <c r="R1231" s="1">
        <v>44946</v>
      </c>
      <c r="S1231" t="s">
        <v>2922</v>
      </c>
    </row>
    <row r="1232" spans="1:19" x14ac:dyDescent="0.3">
      <c r="A1232" s="1">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1">
        <v>45398</v>
      </c>
      <c r="R1232" s="1">
        <v>45402</v>
      </c>
      <c r="S1232" t="s">
        <v>2926</v>
      </c>
    </row>
    <row r="1233" spans="1:19" x14ac:dyDescent="0.3">
      <c r="A1233" s="1">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1">
        <v>45360</v>
      </c>
      <c r="R1233" s="1">
        <v>45363</v>
      </c>
      <c r="S1233" t="s">
        <v>2925</v>
      </c>
    </row>
    <row r="1234" spans="1:19" x14ac:dyDescent="0.3">
      <c r="A1234" s="1">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1">
        <v>45572</v>
      </c>
      <c r="R1234" s="1">
        <v>45576</v>
      </c>
      <c r="S1234" t="s">
        <v>2923</v>
      </c>
    </row>
    <row r="1235" spans="1:19" x14ac:dyDescent="0.3">
      <c r="A1235" s="1">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1">
        <v>45205</v>
      </c>
      <c r="R1235" s="1">
        <v>45214</v>
      </c>
      <c r="S1235" t="s">
        <v>2926</v>
      </c>
    </row>
    <row r="1236" spans="1:19" x14ac:dyDescent="0.3">
      <c r="A1236" s="1">
        <v>45024</v>
      </c>
      <c r="B1236" t="s">
        <v>23</v>
      </c>
      <c r="C1236" t="s">
        <v>28</v>
      </c>
      <c r="D1236">
        <v>15</v>
      </c>
      <c r="E1236">
        <v>506.17</v>
      </c>
      <c r="F1236" t="s">
        <v>31</v>
      </c>
      <c r="G1236" t="s">
        <v>35</v>
      </c>
      <c r="H1236">
        <v>0.05</v>
      </c>
      <c r="I1236" t="s">
        <v>38</v>
      </c>
      <c r="J1236">
        <v>7212.9224999999997</v>
      </c>
      <c r="K1236" t="s">
        <v>43</v>
      </c>
      <c r="L1236" t="s">
        <v>2927</v>
      </c>
      <c r="M1236">
        <v>0</v>
      </c>
      <c r="N1236" t="s">
        <v>1285</v>
      </c>
      <c r="O1236" t="s">
        <v>2704</v>
      </c>
      <c r="P1236">
        <v>41.73</v>
      </c>
      <c r="Q1236" s="1">
        <v>45024</v>
      </c>
      <c r="R1236" s="1">
        <v>45029</v>
      </c>
      <c r="S1236" t="s">
        <v>2926</v>
      </c>
    </row>
    <row r="1237" spans="1:19" x14ac:dyDescent="0.3">
      <c r="A1237" s="1">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1">
        <v>45342</v>
      </c>
      <c r="R1237" s="1">
        <v>45349</v>
      </c>
      <c r="S1237" t="s">
        <v>2923</v>
      </c>
    </row>
    <row r="1238" spans="1:19" x14ac:dyDescent="0.3">
      <c r="A1238" s="1">
        <v>44956</v>
      </c>
      <c r="B1238" t="s">
        <v>23</v>
      </c>
      <c r="C1238" t="s">
        <v>27</v>
      </c>
      <c r="D1238">
        <v>15</v>
      </c>
      <c r="E1238">
        <v>274.3</v>
      </c>
      <c r="F1238" t="s">
        <v>31</v>
      </c>
      <c r="G1238" t="s">
        <v>36</v>
      </c>
      <c r="H1238">
        <v>0.15</v>
      </c>
      <c r="I1238" t="s">
        <v>39</v>
      </c>
      <c r="J1238">
        <v>3497.3249999999998</v>
      </c>
      <c r="K1238" t="s">
        <v>45</v>
      </c>
      <c r="L1238" t="s">
        <v>2927</v>
      </c>
      <c r="M1238">
        <v>0</v>
      </c>
      <c r="N1238" t="s">
        <v>1287</v>
      </c>
      <c r="O1238" t="s">
        <v>2706</v>
      </c>
      <c r="P1238">
        <v>21.56</v>
      </c>
      <c r="Q1238" s="1">
        <v>44956</v>
      </c>
      <c r="R1238" s="1">
        <v>44965</v>
      </c>
      <c r="S1238" t="s">
        <v>2926</v>
      </c>
    </row>
    <row r="1239" spans="1:19" x14ac:dyDescent="0.3">
      <c r="A1239" s="1">
        <v>45058</v>
      </c>
      <c r="B1239" t="s">
        <v>20</v>
      </c>
      <c r="C1239" t="s">
        <v>28</v>
      </c>
      <c r="D1239">
        <v>2</v>
      </c>
      <c r="E1239">
        <v>334.48</v>
      </c>
      <c r="F1239" t="s">
        <v>31</v>
      </c>
      <c r="G1239" t="s">
        <v>35</v>
      </c>
      <c r="H1239">
        <v>0</v>
      </c>
      <c r="I1239" t="s">
        <v>38</v>
      </c>
      <c r="J1239">
        <v>668.96</v>
      </c>
      <c r="K1239" t="s">
        <v>46</v>
      </c>
      <c r="L1239" t="s">
        <v>2927</v>
      </c>
      <c r="M1239">
        <v>0</v>
      </c>
      <c r="N1239" t="s">
        <v>1288</v>
      </c>
      <c r="O1239" t="s">
        <v>2707</v>
      </c>
      <c r="P1239">
        <v>31.53</v>
      </c>
      <c r="Q1239" s="1">
        <v>45058</v>
      </c>
      <c r="R1239" s="1">
        <v>45066</v>
      </c>
      <c r="S1239" t="s">
        <v>2923</v>
      </c>
    </row>
    <row r="1240" spans="1:19" x14ac:dyDescent="0.3">
      <c r="A1240" s="1">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1">
        <v>45299</v>
      </c>
      <c r="R1240" s="1">
        <v>45303</v>
      </c>
      <c r="S1240" t="s">
        <v>2923</v>
      </c>
    </row>
    <row r="1241" spans="1:19" x14ac:dyDescent="0.3">
      <c r="A1241" s="1">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1">
        <v>45448</v>
      </c>
      <c r="R1241" s="1">
        <v>45451</v>
      </c>
      <c r="S1241" t="s">
        <v>2924</v>
      </c>
    </row>
    <row r="1242" spans="1:19" x14ac:dyDescent="0.3">
      <c r="A1242" s="1">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1">
        <v>45798</v>
      </c>
      <c r="R1242" s="1">
        <v>45800</v>
      </c>
      <c r="S1242" t="s">
        <v>2922</v>
      </c>
    </row>
    <row r="1243" spans="1:19" x14ac:dyDescent="0.3">
      <c r="A1243" s="1">
        <v>45798</v>
      </c>
      <c r="B1243" t="s">
        <v>19</v>
      </c>
      <c r="C1243" t="s">
        <v>27</v>
      </c>
      <c r="D1243">
        <v>7</v>
      </c>
      <c r="E1243">
        <v>15.06</v>
      </c>
      <c r="F1243" t="s">
        <v>32</v>
      </c>
      <c r="G1243" t="s">
        <v>36</v>
      </c>
      <c r="H1243">
        <v>0</v>
      </c>
      <c r="I1243" t="s">
        <v>38</v>
      </c>
      <c r="J1243">
        <v>105.42</v>
      </c>
      <c r="K1243" t="s">
        <v>47</v>
      </c>
      <c r="L1243" t="s">
        <v>2927</v>
      </c>
      <c r="M1243">
        <v>1</v>
      </c>
      <c r="N1243" t="s">
        <v>1292</v>
      </c>
      <c r="O1243" t="s">
        <v>2710</v>
      </c>
      <c r="P1243">
        <v>46.57</v>
      </c>
      <c r="Q1243" s="1">
        <v>45798</v>
      </c>
      <c r="R1243" s="1">
        <v>45803</v>
      </c>
      <c r="S1243" t="s">
        <v>2922</v>
      </c>
    </row>
    <row r="1244" spans="1:19" x14ac:dyDescent="0.3">
      <c r="A1244" s="1">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1">
        <v>44990</v>
      </c>
      <c r="R1244" s="1">
        <v>44996</v>
      </c>
      <c r="S1244" t="s">
        <v>2922</v>
      </c>
    </row>
    <row r="1245" spans="1:19" x14ac:dyDescent="0.3">
      <c r="A1245" s="1">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1">
        <v>45592</v>
      </c>
      <c r="R1245" s="1">
        <v>45598</v>
      </c>
      <c r="S1245" t="s">
        <v>2923</v>
      </c>
    </row>
    <row r="1246" spans="1:19" x14ac:dyDescent="0.3">
      <c r="A1246" s="1">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1">
        <v>45740</v>
      </c>
      <c r="R1246" s="1">
        <v>45745</v>
      </c>
      <c r="S1246" t="s">
        <v>2924</v>
      </c>
    </row>
    <row r="1247" spans="1:19" x14ac:dyDescent="0.3">
      <c r="A1247" s="1">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1">
        <v>45556</v>
      </c>
      <c r="R1247" s="1">
        <v>45562</v>
      </c>
      <c r="S1247" t="s">
        <v>2926</v>
      </c>
    </row>
    <row r="1248" spans="1:19" x14ac:dyDescent="0.3">
      <c r="A1248" s="1">
        <v>45795</v>
      </c>
      <c r="B1248" t="s">
        <v>21</v>
      </c>
      <c r="C1248" t="s">
        <v>26</v>
      </c>
      <c r="D1248">
        <v>8</v>
      </c>
      <c r="E1248">
        <v>505.34</v>
      </c>
      <c r="F1248" t="s">
        <v>31</v>
      </c>
      <c r="G1248" t="s">
        <v>36</v>
      </c>
      <c r="H1248">
        <v>0.05</v>
      </c>
      <c r="I1248" t="s">
        <v>42</v>
      </c>
      <c r="J1248">
        <v>3840.5839999999998</v>
      </c>
      <c r="K1248" t="s">
        <v>46</v>
      </c>
      <c r="L1248" t="s">
        <v>2927</v>
      </c>
      <c r="M1248">
        <v>0</v>
      </c>
      <c r="N1248" t="s">
        <v>1297</v>
      </c>
      <c r="O1248" t="s">
        <v>2714</v>
      </c>
      <c r="P1248">
        <v>22.88</v>
      </c>
      <c r="Q1248" s="1">
        <v>45795</v>
      </c>
      <c r="R1248" s="1">
        <v>45804</v>
      </c>
      <c r="S1248" t="s">
        <v>2924</v>
      </c>
    </row>
    <row r="1249" spans="1:19" x14ac:dyDescent="0.3">
      <c r="A1249" s="1">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1">
        <v>45484</v>
      </c>
      <c r="R1249" s="1">
        <v>45487</v>
      </c>
      <c r="S1249" t="s">
        <v>2922</v>
      </c>
    </row>
    <row r="1250" spans="1:19" x14ac:dyDescent="0.3">
      <c r="A1250" s="1">
        <v>45684</v>
      </c>
      <c r="B1250" t="s">
        <v>21</v>
      </c>
      <c r="C1250" t="s">
        <v>29</v>
      </c>
      <c r="D1250">
        <v>8</v>
      </c>
      <c r="E1250">
        <v>352.72</v>
      </c>
      <c r="F1250" t="s">
        <v>33</v>
      </c>
      <c r="G1250" t="s">
        <v>36</v>
      </c>
      <c r="H1250">
        <v>0.05</v>
      </c>
      <c r="I1250" t="s">
        <v>40</v>
      </c>
      <c r="J1250">
        <v>2680.672</v>
      </c>
      <c r="K1250" t="s">
        <v>47</v>
      </c>
      <c r="L1250" t="s">
        <v>2927</v>
      </c>
      <c r="M1250">
        <v>0</v>
      </c>
      <c r="N1250" t="s">
        <v>1299</v>
      </c>
      <c r="O1250" t="s">
        <v>2716</v>
      </c>
      <c r="P1250">
        <v>30.8</v>
      </c>
      <c r="Q1250" s="1">
        <v>45684</v>
      </c>
      <c r="R1250" s="1">
        <v>45692</v>
      </c>
      <c r="S1250" t="s">
        <v>2924</v>
      </c>
    </row>
    <row r="1251" spans="1:19" x14ac:dyDescent="0.3">
      <c r="A1251" s="1">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1">
        <v>45256</v>
      </c>
      <c r="R1251" s="1">
        <v>45266</v>
      </c>
      <c r="S1251" t="s">
        <v>2922</v>
      </c>
    </row>
    <row r="1252" spans="1:19" x14ac:dyDescent="0.3">
      <c r="A1252" s="1">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1">
        <v>45445</v>
      </c>
      <c r="R1252" s="1">
        <v>45447</v>
      </c>
      <c r="S1252" t="s">
        <v>2925</v>
      </c>
    </row>
    <row r="1253" spans="1:19" x14ac:dyDescent="0.3">
      <c r="A1253" s="1">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1">
        <v>44943</v>
      </c>
      <c r="R1253" s="1">
        <v>44950</v>
      </c>
      <c r="S1253" t="s">
        <v>2924</v>
      </c>
    </row>
    <row r="1254" spans="1:19" x14ac:dyDescent="0.3">
      <c r="A1254" s="1">
        <v>45780</v>
      </c>
      <c r="B1254" t="s">
        <v>21</v>
      </c>
      <c r="C1254" t="s">
        <v>26</v>
      </c>
      <c r="D1254">
        <v>13</v>
      </c>
      <c r="E1254">
        <v>420.68</v>
      </c>
      <c r="F1254" t="s">
        <v>34</v>
      </c>
      <c r="G1254" t="s">
        <v>35</v>
      </c>
      <c r="H1254">
        <v>0.05</v>
      </c>
      <c r="I1254" t="s">
        <v>39</v>
      </c>
      <c r="J1254">
        <v>5195.3980000000001</v>
      </c>
      <c r="K1254" t="s">
        <v>43</v>
      </c>
      <c r="L1254" t="s">
        <v>2927</v>
      </c>
      <c r="M1254">
        <v>0</v>
      </c>
      <c r="N1254" t="s">
        <v>1303</v>
      </c>
      <c r="O1254" t="s">
        <v>2719</v>
      </c>
      <c r="P1254">
        <v>24.51</v>
      </c>
      <c r="Q1254" s="1">
        <v>45780</v>
      </c>
      <c r="R1254" s="1">
        <v>45788</v>
      </c>
      <c r="S1254" t="s">
        <v>2924</v>
      </c>
    </row>
    <row r="1255" spans="1:19" x14ac:dyDescent="0.3">
      <c r="A1255" s="1">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1">
        <v>45662</v>
      </c>
      <c r="R1255" s="1">
        <v>45670</v>
      </c>
      <c r="S1255" t="s">
        <v>2924</v>
      </c>
    </row>
    <row r="1256" spans="1:19" x14ac:dyDescent="0.3">
      <c r="A1256" s="1">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1">
        <v>45342</v>
      </c>
      <c r="R1256" s="1">
        <v>45352</v>
      </c>
      <c r="S1256" t="s">
        <v>2922</v>
      </c>
    </row>
    <row r="1257" spans="1:19" x14ac:dyDescent="0.3">
      <c r="A1257" s="1">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1">
        <v>45286</v>
      </c>
      <c r="R1257" s="1">
        <v>45295</v>
      </c>
      <c r="S1257" t="s">
        <v>2924</v>
      </c>
    </row>
    <row r="1258" spans="1:19" x14ac:dyDescent="0.3">
      <c r="A1258" s="1">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1">
        <v>44992</v>
      </c>
      <c r="R1258" s="1">
        <v>44997</v>
      </c>
      <c r="S1258" t="s">
        <v>2924</v>
      </c>
    </row>
    <row r="1259" spans="1:19" x14ac:dyDescent="0.3">
      <c r="A1259" s="1">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1">
        <v>45548</v>
      </c>
      <c r="R1259" s="1">
        <v>45557</v>
      </c>
      <c r="S1259" t="s">
        <v>2924</v>
      </c>
    </row>
    <row r="1260" spans="1:19" x14ac:dyDescent="0.3">
      <c r="A1260" s="1">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1">
        <v>45293</v>
      </c>
      <c r="R1260" s="1">
        <v>45303</v>
      </c>
      <c r="S1260" t="s">
        <v>2922</v>
      </c>
    </row>
    <row r="1261" spans="1:19" x14ac:dyDescent="0.3">
      <c r="A1261" s="1">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1">
        <v>45696</v>
      </c>
      <c r="R1261" s="1">
        <v>45706</v>
      </c>
      <c r="S1261" t="s">
        <v>2923</v>
      </c>
    </row>
    <row r="1262" spans="1:19" x14ac:dyDescent="0.3">
      <c r="A1262" s="1">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1">
        <v>45720</v>
      </c>
      <c r="R1262" s="1">
        <v>45728</v>
      </c>
      <c r="S1262" t="s">
        <v>2923</v>
      </c>
    </row>
    <row r="1263" spans="1:19" x14ac:dyDescent="0.3">
      <c r="A1263" s="1">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1">
        <v>45363</v>
      </c>
      <c r="R1263" s="1">
        <v>45372</v>
      </c>
      <c r="S1263" t="s">
        <v>2925</v>
      </c>
    </row>
    <row r="1264" spans="1:19" x14ac:dyDescent="0.3">
      <c r="A1264" s="1">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1">
        <v>45476</v>
      </c>
      <c r="R1264" s="1">
        <v>45480</v>
      </c>
      <c r="S1264" t="s">
        <v>2922</v>
      </c>
    </row>
    <row r="1265" spans="1:19" x14ac:dyDescent="0.3">
      <c r="A1265" s="1">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1">
        <v>45662</v>
      </c>
      <c r="R1265" s="1">
        <v>45670</v>
      </c>
      <c r="S1265" t="s">
        <v>2924</v>
      </c>
    </row>
    <row r="1266" spans="1:19" x14ac:dyDescent="0.3">
      <c r="A1266" s="1">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1">
        <v>45372</v>
      </c>
      <c r="R1266" s="1">
        <v>45379</v>
      </c>
      <c r="S1266" t="s">
        <v>2922</v>
      </c>
    </row>
    <row r="1267" spans="1:19" x14ac:dyDescent="0.3">
      <c r="A1267" s="1">
        <v>45744</v>
      </c>
      <c r="B1267" t="s">
        <v>22</v>
      </c>
      <c r="C1267" t="s">
        <v>28</v>
      </c>
      <c r="D1267">
        <v>15</v>
      </c>
      <c r="E1267">
        <v>568.80999999999995</v>
      </c>
      <c r="F1267" t="s">
        <v>34</v>
      </c>
      <c r="G1267" t="s">
        <v>36</v>
      </c>
      <c r="H1267">
        <v>0.1</v>
      </c>
      <c r="I1267" t="s">
        <v>39</v>
      </c>
      <c r="J1267">
        <v>7678.9349999999986</v>
      </c>
      <c r="K1267" t="s">
        <v>44</v>
      </c>
      <c r="L1267" t="s">
        <v>2927</v>
      </c>
      <c r="M1267">
        <v>0</v>
      </c>
      <c r="N1267" t="s">
        <v>1316</v>
      </c>
      <c r="O1267" t="s">
        <v>2730</v>
      </c>
      <c r="P1267">
        <v>8.5399999999999991</v>
      </c>
      <c r="Q1267" s="1">
        <v>45744</v>
      </c>
      <c r="R1267" s="1">
        <v>45750</v>
      </c>
      <c r="S1267" t="s">
        <v>2925</v>
      </c>
    </row>
    <row r="1268" spans="1:19" x14ac:dyDescent="0.3">
      <c r="A1268" s="1">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1">
        <v>45760</v>
      </c>
      <c r="R1268" s="1">
        <v>45765</v>
      </c>
      <c r="S1268" t="s">
        <v>2925</v>
      </c>
    </row>
    <row r="1269" spans="1:19" x14ac:dyDescent="0.3">
      <c r="A1269" s="1">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1">
        <v>45412</v>
      </c>
      <c r="R1269" s="1">
        <v>45421</v>
      </c>
      <c r="S1269" t="s">
        <v>2926</v>
      </c>
    </row>
    <row r="1270" spans="1:19" x14ac:dyDescent="0.3">
      <c r="A1270" s="1">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1">
        <v>45703</v>
      </c>
      <c r="R1270" s="1">
        <v>45707</v>
      </c>
      <c r="S1270" t="s">
        <v>2923</v>
      </c>
    </row>
    <row r="1271" spans="1:19" x14ac:dyDescent="0.3">
      <c r="A1271" s="1">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1">
        <v>45706</v>
      </c>
      <c r="R1271" s="1">
        <v>45711</v>
      </c>
      <c r="S1271" t="s">
        <v>2926</v>
      </c>
    </row>
    <row r="1272" spans="1:19" x14ac:dyDescent="0.3">
      <c r="A1272" s="1">
        <v>45177</v>
      </c>
      <c r="B1272" t="s">
        <v>23</v>
      </c>
      <c r="C1272" t="s">
        <v>25</v>
      </c>
      <c r="D1272">
        <v>11</v>
      </c>
      <c r="E1272">
        <v>358.59</v>
      </c>
      <c r="F1272" t="s">
        <v>31</v>
      </c>
      <c r="G1272" t="s">
        <v>35</v>
      </c>
      <c r="H1272">
        <v>0</v>
      </c>
      <c r="I1272" t="s">
        <v>39</v>
      </c>
      <c r="J1272">
        <v>3944.49</v>
      </c>
      <c r="K1272" t="s">
        <v>45</v>
      </c>
      <c r="L1272" t="s">
        <v>2927</v>
      </c>
      <c r="M1272">
        <v>0</v>
      </c>
      <c r="N1272" t="s">
        <v>1321</v>
      </c>
      <c r="O1272" t="s">
        <v>2735</v>
      </c>
      <c r="P1272">
        <v>29.19</v>
      </c>
      <c r="Q1272" s="1">
        <v>45177</v>
      </c>
      <c r="R1272" s="1">
        <v>45179</v>
      </c>
      <c r="S1272" t="s">
        <v>2926</v>
      </c>
    </row>
    <row r="1273" spans="1:19" x14ac:dyDescent="0.3">
      <c r="A1273" s="1">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1">
        <v>45326</v>
      </c>
      <c r="R1273" s="1">
        <v>45328</v>
      </c>
      <c r="S1273" t="s">
        <v>2925</v>
      </c>
    </row>
    <row r="1274" spans="1:19" x14ac:dyDescent="0.3">
      <c r="A1274" s="1">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1">
        <v>45621</v>
      </c>
      <c r="R1274" s="1">
        <v>45631</v>
      </c>
      <c r="S1274" t="s">
        <v>2924</v>
      </c>
    </row>
    <row r="1275" spans="1:19" x14ac:dyDescent="0.3">
      <c r="A1275" s="1">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1">
        <v>45656</v>
      </c>
      <c r="R1275" s="1">
        <v>45659</v>
      </c>
      <c r="S1275" t="s">
        <v>2924</v>
      </c>
    </row>
    <row r="1276" spans="1:19" x14ac:dyDescent="0.3">
      <c r="A1276" s="1">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1">
        <v>45174</v>
      </c>
      <c r="R1276" s="1">
        <v>45179</v>
      </c>
      <c r="S1276" t="s">
        <v>2926</v>
      </c>
    </row>
    <row r="1277" spans="1:19" x14ac:dyDescent="0.3">
      <c r="A1277" s="1">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1">
        <v>45139</v>
      </c>
      <c r="R1277" s="1">
        <v>45149</v>
      </c>
      <c r="S1277" t="s">
        <v>2926</v>
      </c>
    </row>
    <row r="1278" spans="1:19" x14ac:dyDescent="0.3">
      <c r="A1278" s="1">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1">
        <v>44932</v>
      </c>
      <c r="R1278" s="1">
        <v>44934</v>
      </c>
      <c r="S1278" t="s">
        <v>2925</v>
      </c>
    </row>
    <row r="1279" spans="1:19" x14ac:dyDescent="0.3">
      <c r="A1279" s="1">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1">
        <v>45779</v>
      </c>
      <c r="R1279" s="1">
        <v>45783</v>
      </c>
      <c r="S1279" t="s">
        <v>2925</v>
      </c>
    </row>
    <row r="1280" spans="1:19" x14ac:dyDescent="0.3">
      <c r="A1280" s="1">
        <v>45281</v>
      </c>
      <c r="B1280" t="s">
        <v>23</v>
      </c>
      <c r="C1280" t="s">
        <v>28</v>
      </c>
      <c r="D1280">
        <v>7</v>
      </c>
      <c r="E1280">
        <v>257.01</v>
      </c>
      <c r="F1280" t="s">
        <v>34</v>
      </c>
      <c r="G1280" t="s">
        <v>36</v>
      </c>
      <c r="H1280">
        <v>0.05</v>
      </c>
      <c r="I1280" t="s">
        <v>37</v>
      </c>
      <c r="J1280">
        <v>1709.1165000000001</v>
      </c>
      <c r="K1280" t="s">
        <v>45</v>
      </c>
      <c r="L1280" t="s">
        <v>2927</v>
      </c>
      <c r="M1280">
        <v>0</v>
      </c>
      <c r="N1280" t="s">
        <v>1329</v>
      </c>
      <c r="O1280" t="s">
        <v>2743</v>
      </c>
      <c r="P1280">
        <v>35.520000000000003</v>
      </c>
      <c r="Q1280" s="1">
        <v>45281</v>
      </c>
      <c r="R1280" s="1">
        <v>45288</v>
      </c>
      <c r="S1280" t="s">
        <v>2926</v>
      </c>
    </row>
    <row r="1281" spans="1:19" x14ac:dyDescent="0.3">
      <c r="A1281" s="1">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1">
        <v>45545</v>
      </c>
      <c r="R1281" s="1">
        <v>45549</v>
      </c>
      <c r="S1281" t="s">
        <v>2922</v>
      </c>
    </row>
    <row r="1282" spans="1:19" x14ac:dyDescent="0.3">
      <c r="A1282" s="1">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1">
        <v>45387</v>
      </c>
      <c r="R1282" s="1">
        <v>45392</v>
      </c>
      <c r="S1282" t="s">
        <v>2925</v>
      </c>
    </row>
    <row r="1283" spans="1:19" x14ac:dyDescent="0.3">
      <c r="A1283" s="1">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1">
        <v>45133</v>
      </c>
      <c r="R1283" s="1">
        <v>45138</v>
      </c>
      <c r="S1283" t="s">
        <v>2922</v>
      </c>
    </row>
    <row r="1284" spans="1:19" x14ac:dyDescent="0.3">
      <c r="A1284" s="1">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1">
        <v>45242</v>
      </c>
      <c r="R1284" s="1">
        <v>45244</v>
      </c>
      <c r="S1284" t="s">
        <v>2922</v>
      </c>
    </row>
    <row r="1285" spans="1:19" x14ac:dyDescent="0.3">
      <c r="A1285" s="1">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1">
        <v>45765</v>
      </c>
      <c r="R1285" s="1">
        <v>45767</v>
      </c>
      <c r="S1285" t="s">
        <v>2925</v>
      </c>
    </row>
    <row r="1286" spans="1:19" x14ac:dyDescent="0.3">
      <c r="A1286" s="1">
        <v>45150</v>
      </c>
      <c r="B1286" t="s">
        <v>20</v>
      </c>
      <c r="C1286" t="s">
        <v>27</v>
      </c>
      <c r="D1286">
        <v>8</v>
      </c>
      <c r="E1286">
        <v>28.34</v>
      </c>
      <c r="F1286" t="s">
        <v>33</v>
      </c>
      <c r="G1286" t="s">
        <v>35</v>
      </c>
      <c r="H1286">
        <v>0.05</v>
      </c>
      <c r="I1286" t="s">
        <v>38</v>
      </c>
      <c r="J1286">
        <v>215.38399999999999</v>
      </c>
      <c r="K1286" t="s">
        <v>47</v>
      </c>
      <c r="L1286" t="s">
        <v>2927</v>
      </c>
      <c r="M1286">
        <v>1</v>
      </c>
      <c r="N1286" t="s">
        <v>1335</v>
      </c>
      <c r="O1286" t="s">
        <v>2748</v>
      </c>
      <c r="P1286">
        <v>23.19</v>
      </c>
      <c r="Q1286" s="1">
        <v>45150</v>
      </c>
      <c r="R1286" s="1">
        <v>45157</v>
      </c>
      <c r="S1286" t="s">
        <v>2923</v>
      </c>
    </row>
    <row r="1287" spans="1:19" x14ac:dyDescent="0.3">
      <c r="A1287" s="1">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1">
        <v>45638</v>
      </c>
      <c r="R1287" s="1">
        <v>45647</v>
      </c>
      <c r="S1287" t="s">
        <v>2926</v>
      </c>
    </row>
    <row r="1288" spans="1:19" x14ac:dyDescent="0.3">
      <c r="A1288" s="1">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1">
        <v>45784</v>
      </c>
      <c r="R1288" s="1">
        <v>45790</v>
      </c>
      <c r="S1288" t="s">
        <v>2926</v>
      </c>
    </row>
    <row r="1289" spans="1:19" x14ac:dyDescent="0.3">
      <c r="A1289" s="1">
        <v>45726</v>
      </c>
      <c r="B1289" t="s">
        <v>19</v>
      </c>
      <c r="C1289" t="s">
        <v>27</v>
      </c>
      <c r="D1289">
        <v>16</v>
      </c>
      <c r="E1289">
        <v>504.36</v>
      </c>
      <c r="F1289" t="s">
        <v>34</v>
      </c>
      <c r="G1289" t="s">
        <v>35</v>
      </c>
      <c r="H1289">
        <v>0</v>
      </c>
      <c r="I1289" t="s">
        <v>42</v>
      </c>
      <c r="J1289">
        <v>8069.76</v>
      </c>
      <c r="K1289" t="s">
        <v>46</v>
      </c>
      <c r="L1289" t="s">
        <v>2927</v>
      </c>
      <c r="M1289">
        <v>1</v>
      </c>
      <c r="N1289" t="s">
        <v>1338</v>
      </c>
      <c r="O1289" t="s">
        <v>1801</v>
      </c>
      <c r="P1289">
        <v>11.67</v>
      </c>
      <c r="Q1289" s="1">
        <v>45726</v>
      </c>
      <c r="R1289" s="1">
        <v>45729</v>
      </c>
      <c r="S1289" t="s">
        <v>2922</v>
      </c>
    </row>
    <row r="1290" spans="1:19" x14ac:dyDescent="0.3">
      <c r="A1290" s="1">
        <v>45809</v>
      </c>
      <c r="B1290" t="s">
        <v>19</v>
      </c>
      <c r="C1290" t="s">
        <v>26</v>
      </c>
      <c r="D1290">
        <v>7</v>
      </c>
      <c r="E1290">
        <v>122.2</v>
      </c>
      <c r="F1290" t="s">
        <v>31</v>
      </c>
      <c r="G1290" t="s">
        <v>36</v>
      </c>
      <c r="H1290">
        <v>0</v>
      </c>
      <c r="I1290" t="s">
        <v>40</v>
      </c>
      <c r="J1290">
        <v>855.4</v>
      </c>
      <c r="K1290" t="s">
        <v>45</v>
      </c>
      <c r="L1290" t="s">
        <v>2927</v>
      </c>
      <c r="M1290">
        <v>0</v>
      </c>
      <c r="N1290" t="s">
        <v>1339</v>
      </c>
      <c r="O1290" t="s">
        <v>2751</v>
      </c>
      <c r="P1290">
        <v>30.21</v>
      </c>
      <c r="Q1290" s="1">
        <v>45809</v>
      </c>
      <c r="R1290" s="1">
        <v>45818</v>
      </c>
      <c r="S1290" t="s">
        <v>2922</v>
      </c>
    </row>
    <row r="1291" spans="1:19" x14ac:dyDescent="0.3">
      <c r="A1291" s="1">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1">
        <v>45796</v>
      </c>
      <c r="R1291" s="1">
        <v>45798</v>
      </c>
      <c r="S1291" t="s">
        <v>2926</v>
      </c>
    </row>
    <row r="1292" spans="1:19" x14ac:dyDescent="0.3">
      <c r="A1292" s="1">
        <v>44965</v>
      </c>
      <c r="B1292" t="s">
        <v>19</v>
      </c>
      <c r="C1292" t="s">
        <v>29</v>
      </c>
      <c r="D1292">
        <v>4</v>
      </c>
      <c r="E1292">
        <v>224.75</v>
      </c>
      <c r="F1292" t="s">
        <v>34</v>
      </c>
      <c r="G1292" t="s">
        <v>35</v>
      </c>
      <c r="H1292">
        <v>0</v>
      </c>
      <c r="I1292" t="s">
        <v>39</v>
      </c>
      <c r="J1292">
        <v>899</v>
      </c>
      <c r="K1292" t="s">
        <v>46</v>
      </c>
      <c r="L1292" t="s">
        <v>2927</v>
      </c>
      <c r="M1292">
        <v>0</v>
      </c>
      <c r="N1292" t="s">
        <v>1341</v>
      </c>
      <c r="O1292" t="s">
        <v>2753</v>
      </c>
      <c r="P1292">
        <v>43.86</v>
      </c>
      <c r="Q1292" s="1">
        <v>44965</v>
      </c>
      <c r="R1292" s="1">
        <v>44973</v>
      </c>
      <c r="S1292" t="s">
        <v>2922</v>
      </c>
    </row>
    <row r="1293" spans="1:19" x14ac:dyDescent="0.3">
      <c r="A1293" s="1">
        <v>45771</v>
      </c>
      <c r="B1293" t="s">
        <v>22</v>
      </c>
      <c r="C1293" t="s">
        <v>26</v>
      </c>
      <c r="D1293">
        <v>16</v>
      </c>
      <c r="E1293">
        <v>509.71</v>
      </c>
      <c r="F1293" t="s">
        <v>33</v>
      </c>
      <c r="G1293" t="s">
        <v>35</v>
      </c>
      <c r="H1293">
        <v>0.1</v>
      </c>
      <c r="I1293" t="s">
        <v>40</v>
      </c>
      <c r="J1293">
        <v>7339.8239999999996</v>
      </c>
      <c r="K1293" t="s">
        <v>47</v>
      </c>
      <c r="L1293" t="s">
        <v>2927</v>
      </c>
      <c r="M1293">
        <v>0</v>
      </c>
      <c r="N1293" t="s">
        <v>1342</v>
      </c>
      <c r="O1293" t="s">
        <v>2754</v>
      </c>
      <c r="P1293">
        <v>41.78</v>
      </c>
      <c r="Q1293" s="1">
        <v>45771</v>
      </c>
      <c r="R1293" s="1">
        <v>45780</v>
      </c>
      <c r="S1293" t="s">
        <v>2925</v>
      </c>
    </row>
    <row r="1294" spans="1:19" x14ac:dyDescent="0.3">
      <c r="A1294" s="1">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1">
        <v>45536</v>
      </c>
      <c r="R1294" s="1">
        <v>45543</v>
      </c>
      <c r="S1294" t="s">
        <v>2924</v>
      </c>
    </row>
    <row r="1295" spans="1:19" x14ac:dyDescent="0.3">
      <c r="A1295" s="1">
        <v>45603</v>
      </c>
      <c r="B1295" t="s">
        <v>22</v>
      </c>
      <c r="C1295" t="s">
        <v>30</v>
      </c>
      <c r="D1295">
        <v>13</v>
      </c>
      <c r="E1295">
        <v>365.11</v>
      </c>
      <c r="F1295" t="s">
        <v>33</v>
      </c>
      <c r="G1295" t="s">
        <v>36</v>
      </c>
      <c r="H1295">
        <v>0.05</v>
      </c>
      <c r="I1295" t="s">
        <v>41</v>
      </c>
      <c r="J1295">
        <v>4509.1085000000003</v>
      </c>
      <c r="K1295" t="s">
        <v>43</v>
      </c>
      <c r="L1295" t="s">
        <v>2927</v>
      </c>
      <c r="M1295">
        <v>0</v>
      </c>
      <c r="N1295" t="s">
        <v>1344</v>
      </c>
      <c r="O1295" t="s">
        <v>2756</v>
      </c>
      <c r="P1295">
        <v>13.97</v>
      </c>
      <c r="Q1295" s="1">
        <v>45603</v>
      </c>
      <c r="R1295" s="1">
        <v>45609</v>
      </c>
      <c r="S1295" t="s">
        <v>2925</v>
      </c>
    </row>
    <row r="1296" spans="1:19" x14ac:dyDescent="0.3">
      <c r="A1296" s="1">
        <v>45625</v>
      </c>
      <c r="B1296" t="s">
        <v>19</v>
      </c>
      <c r="C1296" t="s">
        <v>27</v>
      </c>
      <c r="D1296">
        <v>1</v>
      </c>
      <c r="E1296">
        <v>139.13</v>
      </c>
      <c r="F1296" t="s">
        <v>33</v>
      </c>
      <c r="G1296" t="s">
        <v>35</v>
      </c>
      <c r="H1296">
        <v>0</v>
      </c>
      <c r="I1296" t="s">
        <v>40</v>
      </c>
      <c r="J1296">
        <v>139.13</v>
      </c>
      <c r="K1296" t="s">
        <v>47</v>
      </c>
      <c r="L1296" t="s">
        <v>2927</v>
      </c>
      <c r="M1296">
        <v>1</v>
      </c>
      <c r="N1296" t="s">
        <v>1345</v>
      </c>
      <c r="O1296" t="s">
        <v>2757</v>
      </c>
      <c r="P1296">
        <v>35.92</v>
      </c>
      <c r="Q1296" s="1">
        <v>45625</v>
      </c>
      <c r="R1296" s="1">
        <v>45628</v>
      </c>
      <c r="S1296" t="s">
        <v>2922</v>
      </c>
    </row>
    <row r="1297" spans="1:19" x14ac:dyDescent="0.3">
      <c r="A1297" s="1">
        <v>45026</v>
      </c>
      <c r="B1297" t="s">
        <v>23</v>
      </c>
      <c r="C1297" t="s">
        <v>27</v>
      </c>
      <c r="D1297">
        <v>6</v>
      </c>
      <c r="E1297">
        <v>543.89</v>
      </c>
      <c r="F1297" t="s">
        <v>33</v>
      </c>
      <c r="G1297" t="s">
        <v>36</v>
      </c>
      <c r="H1297">
        <v>0</v>
      </c>
      <c r="I1297" t="s">
        <v>42</v>
      </c>
      <c r="J1297">
        <v>3263.34</v>
      </c>
      <c r="K1297" t="s">
        <v>47</v>
      </c>
      <c r="L1297" t="s">
        <v>2927</v>
      </c>
      <c r="M1297">
        <v>1</v>
      </c>
      <c r="N1297" t="s">
        <v>1346</v>
      </c>
      <c r="O1297" t="s">
        <v>2758</v>
      </c>
      <c r="P1297">
        <v>13.19</v>
      </c>
      <c r="Q1297" s="1">
        <v>45026</v>
      </c>
      <c r="R1297" s="1">
        <v>45036</v>
      </c>
      <c r="S1297" t="s">
        <v>2926</v>
      </c>
    </row>
    <row r="1298" spans="1:19" x14ac:dyDescent="0.3">
      <c r="A1298" s="1">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1">
        <v>45301</v>
      </c>
      <c r="R1298" s="1">
        <v>45307</v>
      </c>
      <c r="S1298" t="s">
        <v>2924</v>
      </c>
    </row>
    <row r="1299" spans="1:19" x14ac:dyDescent="0.3">
      <c r="A1299" s="1">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1">
        <v>45794</v>
      </c>
      <c r="R1299" s="1">
        <v>45800</v>
      </c>
      <c r="S1299" t="s">
        <v>2923</v>
      </c>
    </row>
    <row r="1300" spans="1:19" x14ac:dyDescent="0.3">
      <c r="A1300" s="1">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1">
        <v>45499</v>
      </c>
      <c r="R1300" s="1">
        <v>45503</v>
      </c>
      <c r="S1300" t="s">
        <v>2925</v>
      </c>
    </row>
    <row r="1301" spans="1:19" x14ac:dyDescent="0.3">
      <c r="A1301" s="1">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1">
        <v>45652</v>
      </c>
      <c r="R1301" s="1">
        <v>45660</v>
      </c>
      <c r="S1301" t="s">
        <v>2923</v>
      </c>
    </row>
    <row r="1302" spans="1:19" x14ac:dyDescent="0.3">
      <c r="A1302" s="1">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1">
        <v>45680</v>
      </c>
      <c r="R1302" s="1">
        <v>45688</v>
      </c>
      <c r="S1302" t="s">
        <v>2922</v>
      </c>
    </row>
    <row r="1303" spans="1:19" x14ac:dyDescent="0.3">
      <c r="A1303" s="1">
        <v>45376</v>
      </c>
      <c r="B1303" t="s">
        <v>20</v>
      </c>
      <c r="C1303" t="s">
        <v>25</v>
      </c>
      <c r="D1303">
        <v>7</v>
      </c>
      <c r="E1303">
        <v>446.32</v>
      </c>
      <c r="F1303" t="s">
        <v>31</v>
      </c>
      <c r="G1303" t="s">
        <v>35</v>
      </c>
      <c r="H1303">
        <v>0.1</v>
      </c>
      <c r="I1303" t="s">
        <v>38</v>
      </c>
      <c r="J1303">
        <v>2811.8159999999998</v>
      </c>
      <c r="K1303" t="s">
        <v>46</v>
      </c>
      <c r="L1303" t="s">
        <v>2927</v>
      </c>
      <c r="M1303">
        <v>0</v>
      </c>
      <c r="N1303" t="s">
        <v>1352</v>
      </c>
      <c r="O1303" t="s">
        <v>2763</v>
      </c>
      <c r="P1303">
        <v>47.23</v>
      </c>
      <c r="Q1303" s="1">
        <v>45376</v>
      </c>
      <c r="R1303" s="1">
        <v>45383</v>
      </c>
      <c r="S1303" t="s">
        <v>2923</v>
      </c>
    </row>
    <row r="1304" spans="1:19" x14ac:dyDescent="0.3">
      <c r="A1304" s="1">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1">
        <v>45720</v>
      </c>
      <c r="R1304" s="1">
        <v>45727</v>
      </c>
      <c r="S1304" t="s">
        <v>2925</v>
      </c>
    </row>
    <row r="1305" spans="1:19" x14ac:dyDescent="0.3">
      <c r="A1305" s="1">
        <v>45219</v>
      </c>
      <c r="B1305" t="s">
        <v>20</v>
      </c>
      <c r="C1305" t="s">
        <v>26</v>
      </c>
      <c r="D1305">
        <v>14</v>
      </c>
      <c r="E1305">
        <v>275.33999999999997</v>
      </c>
      <c r="F1305" t="s">
        <v>31</v>
      </c>
      <c r="G1305" t="s">
        <v>36</v>
      </c>
      <c r="H1305">
        <v>0.1</v>
      </c>
      <c r="I1305" t="s">
        <v>40</v>
      </c>
      <c r="J1305">
        <v>3469.2840000000001</v>
      </c>
      <c r="K1305" t="s">
        <v>43</v>
      </c>
      <c r="L1305" t="s">
        <v>2927</v>
      </c>
      <c r="M1305">
        <v>1</v>
      </c>
      <c r="N1305" t="s">
        <v>1354</v>
      </c>
      <c r="O1305" t="s">
        <v>2764</v>
      </c>
      <c r="P1305">
        <v>32.799999999999997</v>
      </c>
      <c r="Q1305" s="1">
        <v>45219</v>
      </c>
      <c r="R1305" s="1">
        <v>45223</v>
      </c>
      <c r="S1305" t="s">
        <v>2923</v>
      </c>
    </row>
    <row r="1306" spans="1:19" x14ac:dyDescent="0.3">
      <c r="A1306" s="1">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1">
        <v>45554</v>
      </c>
      <c r="R1306" s="1">
        <v>45563</v>
      </c>
      <c r="S1306" t="s">
        <v>2925</v>
      </c>
    </row>
    <row r="1307" spans="1:19" x14ac:dyDescent="0.3">
      <c r="A1307" s="1">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1">
        <v>45192</v>
      </c>
      <c r="R1307" s="1">
        <v>45195</v>
      </c>
      <c r="S1307" t="s">
        <v>2924</v>
      </c>
    </row>
    <row r="1308" spans="1:19" x14ac:dyDescent="0.3">
      <c r="A1308" s="1">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1">
        <v>45657</v>
      </c>
      <c r="R1308" s="1">
        <v>45659</v>
      </c>
      <c r="S1308" t="s">
        <v>2922</v>
      </c>
    </row>
    <row r="1309" spans="1:19" x14ac:dyDescent="0.3">
      <c r="A1309" s="1">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1">
        <v>45314</v>
      </c>
      <c r="R1309" s="1">
        <v>45322</v>
      </c>
      <c r="S1309" t="s">
        <v>2924</v>
      </c>
    </row>
    <row r="1310" spans="1:19" x14ac:dyDescent="0.3">
      <c r="A1310" s="1">
        <v>45090</v>
      </c>
      <c r="B1310" t="s">
        <v>19</v>
      </c>
      <c r="C1310" t="s">
        <v>24</v>
      </c>
      <c r="D1310">
        <v>7</v>
      </c>
      <c r="E1310">
        <v>535.20000000000005</v>
      </c>
      <c r="F1310" t="s">
        <v>33</v>
      </c>
      <c r="G1310" t="s">
        <v>36</v>
      </c>
      <c r="H1310">
        <v>0.1</v>
      </c>
      <c r="I1310" t="s">
        <v>39</v>
      </c>
      <c r="J1310">
        <v>3371.7600000000011</v>
      </c>
      <c r="K1310" t="s">
        <v>46</v>
      </c>
      <c r="L1310" t="s">
        <v>2927</v>
      </c>
      <c r="M1310">
        <v>0</v>
      </c>
      <c r="N1310" t="s">
        <v>1359</v>
      </c>
      <c r="O1310" t="s">
        <v>2767</v>
      </c>
      <c r="P1310">
        <v>10.44</v>
      </c>
      <c r="Q1310" s="1">
        <v>45090</v>
      </c>
      <c r="R1310" s="1">
        <v>45100</v>
      </c>
      <c r="S1310" t="s">
        <v>2922</v>
      </c>
    </row>
    <row r="1311" spans="1:19" x14ac:dyDescent="0.3">
      <c r="A1311" s="1">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1">
        <v>45108</v>
      </c>
      <c r="R1311" s="1">
        <v>45113</v>
      </c>
      <c r="S1311" t="s">
        <v>2922</v>
      </c>
    </row>
    <row r="1312" spans="1:19" x14ac:dyDescent="0.3">
      <c r="A1312" s="1">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1">
        <v>45738</v>
      </c>
      <c r="R1312" s="1">
        <v>45741</v>
      </c>
      <c r="S1312" t="s">
        <v>2923</v>
      </c>
    </row>
    <row r="1313" spans="1:19" x14ac:dyDescent="0.3">
      <c r="A1313" s="1">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1">
        <v>45695</v>
      </c>
      <c r="R1313" s="1">
        <v>45703</v>
      </c>
      <c r="S1313" t="s">
        <v>2923</v>
      </c>
    </row>
    <row r="1314" spans="1:19" x14ac:dyDescent="0.3">
      <c r="A1314" s="1">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1">
        <v>45217</v>
      </c>
      <c r="R1314" s="1">
        <v>45225</v>
      </c>
      <c r="S1314" t="s">
        <v>2924</v>
      </c>
    </row>
    <row r="1315" spans="1:19" x14ac:dyDescent="0.3">
      <c r="A1315" s="1">
        <v>45293</v>
      </c>
      <c r="B1315" t="s">
        <v>22</v>
      </c>
      <c r="C1315" t="s">
        <v>26</v>
      </c>
      <c r="D1315">
        <v>7</v>
      </c>
      <c r="E1315">
        <v>55.76</v>
      </c>
      <c r="F1315" t="s">
        <v>33</v>
      </c>
      <c r="G1315" t="s">
        <v>35</v>
      </c>
      <c r="H1315">
        <v>0.1</v>
      </c>
      <c r="I1315" t="s">
        <v>38</v>
      </c>
      <c r="J1315">
        <v>351.28800000000001</v>
      </c>
      <c r="K1315" t="s">
        <v>43</v>
      </c>
      <c r="L1315" t="s">
        <v>2927</v>
      </c>
      <c r="M1315">
        <v>0</v>
      </c>
      <c r="N1315" t="s">
        <v>1364</v>
      </c>
      <c r="O1315" t="s">
        <v>2772</v>
      </c>
      <c r="P1315">
        <v>38.979999999999997</v>
      </c>
      <c r="Q1315" s="1">
        <v>45293</v>
      </c>
      <c r="R1315" s="1">
        <v>45302</v>
      </c>
      <c r="S1315" t="s">
        <v>2925</v>
      </c>
    </row>
    <row r="1316" spans="1:19" x14ac:dyDescent="0.3">
      <c r="A1316" s="1">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1">
        <v>45724</v>
      </c>
      <c r="R1316" s="1">
        <v>45733</v>
      </c>
      <c r="S1316" t="s">
        <v>2923</v>
      </c>
    </row>
    <row r="1317" spans="1:19" x14ac:dyDescent="0.3">
      <c r="A1317" s="1">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1">
        <v>45110</v>
      </c>
      <c r="R1317" s="1">
        <v>45115</v>
      </c>
      <c r="S1317" t="s">
        <v>2926</v>
      </c>
    </row>
    <row r="1318" spans="1:19" x14ac:dyDescent="0.3">
      <c r="A1318" s="1">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1">
        <v>45245</v>
      </c>
      <c r="R1318" s="1">
        <v>45252</v>
      </c>
      <c r="S1318" t="s">
        <v>2924</v>
      </c>
    </row>
    <row r="1319" spans="1:19" x14ac:dyDescent="0.3">
      <c r="A1319" s="1">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1">
        <v>45332</v>
      </c>
      <c r="R1319" s="1">
        <v>45339</v>
      </c>
      <c r="S1319" t="s">
        <v>2926</v>
      </c>
    </row>
    <row r="1320" spans="1:19" x14ac:dyDescent="0.3">
      <c r="A1320" s="1">
        <v>45756</v>
      </c>
      <c r="B1320" t="s">
        <v>23</v>
      </c>
      <c r="C1320" t="s">
        <v>28</v>
      </c>
      <c r="D1320">
        <v>12</v>
      </c>
      <c r="E1320">
        <v>312.72000000000003</v>
      </c>
      <c r="F1320" t="s">
        <v>33</v>
      </c>
      <c r="G1320" t="s">
        <v>36</v>
      </c>
      <c r="H1320">
        <v>0</v>
      </c>
      <c r="I1320" t="s">
        <v>37</v>
      </c>
      <c r="J1320">
        <v>3752.64</v>
      </c>
      <c r="K1320" t="s">
        <v>44</v>
      </c>
      <c r="L1320" t="s">
        <v>2927</v>
      </c>
      <c r="M1320">
        <v>0</v>
      </c>
      <c r="N1320" t="s">
        <v>1369</v>
      </c>
      <c r="O1320" t="s">
        <v>2019</v>
      </c>
      <c r="P1320">
        <v>18.46</v>
      </c>
      <c r="Q1320" s="1">
        <v>45756</v>
      </c>
      <c r="R1320" s="1">
        <v>45766</v>
      </c>
      <c r="S1320" t="s">
        <v>2926</v>
      </c>
    </row>
    <row r="1321" spans="1:19" x14ac:dyDescent="0.3">
      <c r="A1321" s="1">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1">
        <v>45178</v>
      </c>
      <c r="R1321" s="1">
        <v>45181</v>
      </c>
      <c r="S1321" t="s">
        <v>2926</v>
      </c>
    </row>
    <row r="1322" spans="1:19" x14ac:dyDescent="0.3">
      <c r="A1322" s="1">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1">
        <v>45004</v>
      </c>
      <c r="R1322" s="1">
        <v>45011</v>
      </c>
      <c r="S1322" t="s">
        <v>2922</v>
      </c>
    </row>
    <row r="1323" spans="1:19" x14ac:dyDescent="0.3">
      <c r="A1323" s="1">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1">
        <v>45657</v>
      </c>
      <c r="R1323" s="1">
        <v>45659</v>
      </c>
      <c r="S1323" t="s">
        <v>2925</v>
      </c>
    </row>
    <row r="1324" spans="1:19" x14ac:dyDescent="0.3">
      <c r="A1324" s="1">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1">
        <v>45254</v>
      </c>
      <c r="R1324" s="1">
        <v>45256</v>
      </c>
      <c r="S1324" t="s">
        <v>2925</v>
      </c>
    </row>
    <row r="1325" spans="1:19" x14ac:dyDescent="0.3">
      <c r="A1325" s="1">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1">
        <v>45792</v>
      </c>
      <c r="R1325" s="1">
        <v>45799</v>
      </c>
      <c r="S1325" t="s">
        <v>2922</v>
      </c>
    </row>
    <row r="1326" spans="1:19" x14ac:dyDescent="0.3">
      <c r="A1326" s="1">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1">
        <v>45753</v>
      </c>
      <c r="R1326" s="1">
        <v>45758</v>
      </c>
      <c r="S1326" t="s">
        <v>2923</v>
      </c>
    </row>
    <row r="1327" spans="1:19" x14ac:dyDescent="0.3">
      <c r="A1327" s="1">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1">
        <v>45328</v>
      </c>
      <c r="R1327" s="1">
        <v>45336</v>
      </c>
      <c r="S1327" t="s">
        <v>2923</v>
      </c>
    </row>
    <row r="1328" spans="1:19" x14ac:dyDescent="0.3">
      <c r="A1328" s="1">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1">
        <v>45791</v>
      </c>
      <c r="R1328" s="1">
        <v>45797</v>
      </c>
      <c r="S1328" t="s">
        <v>2924</v>
      </c>
    </row>
    <row r="1329" spans="1:19" x14ac:dyDescent="0.3">
      <c r="A1329" s="1">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1">
        <v>44939</v>
      </c>
      <c r="R1329" s="1">
        <v>44944</v>
      </c>
      <c r="S1329" t="s">
        <v>2922</v>
      </c>
    </row>
    <row r="1330" spans="1:19" x14ac:dyDescent="0.3">
      <c r="A1330" s="1">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1">
        <v>45341</v>
      </c>
      <c r="R1330" s="1">
        <v>45350</v>
      </c>
      <c r="S1330" t="s">
        <v>2924</v>
      </c>
    </row>
    <row r="1331" spans="1:19" x14ac:dyDescent="0.3">
      <c r="A1331" s="1">
        <v>45206</v>
      </c>
      <c r="B1331" t="s">
        <v>20</v>
      </c>
      <c r="C1331" t="s">
        <v>25</v>
      </c>
      <c r="D1331">
        <v>3</v>
      </c>
      <c r="E1331">
        <v>464.11</v>
      </c>
      <c r="F1331" t="s">
        <v>31</v>
      </c>
      <c r="G1331" t="s">
        <v>35</v>
      </c>
      <c r="H1331">
        <v>0.15</v>
      </c>
      <c r="I1331" t="s">
        <v>38</v>
      </c>
      <c r="J1331">
        <v>1183.4804999999999</v>
      </c>
      <c r="K1331" t="s">
        <v>44</v>
      </c>
      <c r="L1331" t="s">
        <v>2927</v>
      </c>
      <c r="M1331">
        <v>0</v>
      </c>
      <c r="N1331" t="s">
        <v>1380</v>
      </c>
      <c r="O1331" t="s">
        <v>2786</v>
      </c>
      <c r="P1331">
        <v>27.45</v>
      </c>
      <c r="Q1331" s="1">
        <v>45206</v>
      </c>
      <c r="R1331" s="1">
        <v>45211</v>
      </c>
      <c r="S1331" t="s">
        <v>2923</v>
      </c>
    </row>
    <row r="1332" spans="1:19" x14ac:dyDescent="0.3">
      <c r="A1332" s="1">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1">
        <v>45552</v>
      </c>
      <c r="R1332" s="1">
        <v>45554</v>
      </c>
      <c r="S1332" t="s">
        <v>2925</v>
      </c>
    </row>
    <row r="1333" spans="1:19" x14ac:dyDescent="0.3">
      <c r="A1333" s="1">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1">
        <v>45053</v>
      </c>
      <c r="R1333" s="1">
        <v>45063</v>
      </c>
      <c r="S1333" t="s">
        <v>2924</v>
      </c>
    </row>
    <row r="1334" spans="1:19" x14ac:dyDescent="0.3">
      <c r="A1334" s="1">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1">
        <v>45272</v>
      </c>
      <c r="R1334" s="1">
        <v>45281</v>
      </c>
      <c r="S1334" t="s">
        <v>2924</v>
      </c>
    </row>
    <row r="1335" spans="1:19" x14ac:dyDescent="0.3">
      <c r="A1335" s="1">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1">
        <v>45727</v>
      </c>
      <c r="R1335" s="1">
        <v>45730</v>
      </c>
      <c r="S1335" t="s">
        <v>2925</v>
      </c>
    </row>
    <row r="1336" spans="1:19" x14ac:dyDescent="0.3">
      <c r="A1336" s="1">
        <v>45380</v>
      </c>
      <c r="B1336" t="s">
        <v>19</v>
      </c>
      <c r="C1336" t="s">
        <v>27</v>
      </c>
      <c r="D1336">
        <v>1</v>
      </c>
      <c r="E1336">
        <v>378.36</v>
      </c>
      <c r="F1336" t="s">
        <v>32</v>
      </c>
      <c r="G1336" t="s">
        <v>36</v>
      </c>
      <c r="H1336">
        <v>0.05</v>
      </c>
      <c r="I1336" t="s">
        <v>37</v>
      </c>
      <c r="J1336">
        <v>359.44200000000001</v>
      </c>
      <c r="K1336" t="s">
        <v>47</v>
      </c>
      <c r="L1336" t="s">
        <v>2927</v>
      </c>
      <c r="M1336">
        <v>0</v>
      </c>
      <c r="N1336" t="s">
        <v>1385</v>
      </c>
      <c r="O1336" t="s">
        <v>2780</v>
      </c>
      <c r="P1336">
        <v>7.59</v>
      </c>
      <c r="Q1336" s="1">
        <v>45380</v>
      </c>
      <c r="R1336" s="1">
        <v>45389</v>
      </c>
      <c r="S1336" t="s">
        <v>2922</v>
      </c>
    </row>
    <row r="1337" spans="1:19" x14ac:dyDescent="0.3">
      <c r="A1337" s="1">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1">
        <v>45501</v>
      </c>
      <c r="R1337" s="1">
        <v>45509</v>
      </c>
      <c r="S1337" t="s">
        <v>2926</v>
      </c>
    </row>
    <row r="1338" spans="1:19" x14ac:dyDescent="0.3">
      <c r="A1338" s="1">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1">
        <v>45484</v>
      </c>
      <c r="R1338" s="1">
        <v>45494</v>
      </c>
      <c r="S1338" t="s">
        <v>2923</v>
      </c>
    </row>
    <row r="1339" spans="1:19" x14ac:dyDescent="0.3">
      <c r="A1339" s="1">
        <v>45478</v>
      </c>
      <c r="B1339" t="s">
        <v>23</v>
      </c>
      <c r="C1339" t="s">
        <v>24</v>
      </c>
      <c r="D1339">
        <v>16</v>
      </c>
      <c r="E1339">
        <v>123.86</v>
      </c>
      <c r="F1339" t="s">
        <v>32</v>
      </c>
      <c r="G1339" t="s">
        <v>35</v>
      </c>
      <c r="H1339">
        <v>0.15</v>
      </c>
      <c r="I1339" t="s">
        <v>38</v>
      </c>
      <c r="J1339">
        <v>1684.4960000000001</v>
      </c>
      <c r="K1339" t="s">
        <v>44</v>
      </c>
      <c r="L1339" t="s">
        <v>2927</v>
      </c>
      <c r="M1339">
        <v>1</v>
      </c>
      <c r="N1339" t="s">
        <v>1388</v>
      </c>
      <c r="O1339" t="s">
        <v>2791</v>
      </c>
      <c r="P1339">
        <v>18.02</v>
      </c>
      <c r="Q1339" s="1">
        <v>45478</v>
      </c>
      <c r="R1339" s="1">
        <v>45487</v>
      </c>
      <c r="S1339" t="s">
        <v>2926</v>
      </c>
    </row>
    <row r="1340" spans="1:19" x14ac:dyDescent="0.3">
      <c r="A1340" s="1">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1">
        <v>45370</v>
      </c>
      <c r="R1340" s="1">
        <v>45375</v>
      </c>
      <c r="S1340" t="s">
        <v>2922</v>
      </c>
    </row>
    <row r="1341" spans="1:19" x14ac:dyDescent="0.3">
      <c r="A1341" s="1">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1">
        <v>45285</v>
      </c>
      <c r="R1341" s="1">
        <v>45289</v>
      </c>
      <c r="S1341" t="s">
        <v>2925</v>
      </c>
    </row>
    <row r="1342" spans="1:19" x14ac:dyDescent="0.3">
      <c r="A1342" s="1">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1">
        <v>45629</v>
      </c>
      <c r="R1342" s="1">
        <v>45631</v>
      </c>
      <c r="S1342" t="s">
        <v>2923</v>
      </c>
    </row>
    <row r="1343" spans="1:19" x14ac:dyDescent="0.3">
      <c r="A1343" s="1">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1">
        <v>45177</v>
      </c>
      <c r="R1343" s="1">
        <v>45184</v>
      </c>
      <c r="S1343" t="s">
        <v>2922</v>
      </c>
    </row>
    <row r="1344" spans="1:19" x14ac:dyDescent="0.3">
      <c r="A1344" s="1">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1">
        <v>45296</v>
      </c>
      <c r="R1344" s="1">
        <v>45298</v>
      </c>
      <c r="S1344" t="s">
        <v>2922</v>
      </c>
    </row>
    <row r="1345" spans="1:19" x14ac:dyDescent="0.3">
      <c r="A1345" s="1">
        <v>45141</v>
      </c>
      <c r="B1345" t="s">
        <v>20</v>
      </c>
      <c r="C1345" t="s">
        <v>27</v>
      </c>
      <c r="D1345">
        <v>5</v>
      </c>
      <c r="E1345">
        <v>163.55000000000001</v>
      </c>
      <c r="F1345" t="s">
        <v>34</v>
      </c>
      <c r="G1345" t="s">
        <v>36</v>
      </c>
      <c r="H1345">
        <v>0.05</v>
      </c>
      <c r="I1345" t="s">
        <v>39</v>
      </c>
      <c r="J1345">
        <v>776.86249999999995</v>
      </c>
      <c r="K1345" t="s">
        <v>47</v>
      </c>
      <c r="L1345" t="s">
        <v>2927</v>
      </c>
      <c r="M1345">
        <v>0</v>
      </c>
      <c r="N1345" t="s">
        <v>1394</v>
      </c>
      <c r="O1345" t="s">
        <v>2797</v>
      </c>
      <c r="P1345">
        <v>28.9</v>
      </c>
      <c r="Q1345" s="1">
        <v>45141</v>
      </c>
      <c r="R1345" s="1">
        <v>45148</v>
      </c>
      <c r="S1345" t="s">
        <v>2923</v>
      </c>
    </row>
    <row r="1346" spans="1:19" x14ac:dyDescent="0.3">
      <c r="A1346" s="1">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1">
        <v>45699</v>
      </c>
      <c r="R1346" s="1">
        <v>45709</v>
      </c>
      <c r="S1346" t="s">
        <v>2924</v>
      </c>
    </row>
    <row r="1347" spans="1:19" x14ac:dyDescent="0.3">
      <c r="A1347" s="1">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1">
        <v>45094</v>
      </c>
      <c r="R1347" s="1">
        <v>45098</v>
      </c>
      <c r="S1347" t="s">
        <v>2923</v>
      </c>
    </row>
    <row r="1348" spans="1:19" x14ac:dyDescent="0.3">
      <c r="A1348" s="1">
        <v>45327</v>
      </c>
      <c r="B1348" t="s">
        <v>22</v>
      </c>
      <c r="C1348" t="s">
        <v>28</v>
      </c>
      <c r="D1348">
        <v>14</v>
      </c>
      <c r="E1348">
        <v>463.96</v>
      </c>
      <c r="F1348" t="s">
        <v>34</v>
      </c>
      <c r="G1348" t="s">
        <v>36</v>
      </c>
      <c r="H1348">
        <v>0.15</v>
      </c>
      <c r="I1348" t="s">
        <v>41</v>
      </c>
      <c r="J1348">
        <v>5521.1239999999998</v>
      </c>
      <c r="K1348" t="s">
        <v>44</v>
      </c>
      <c r="L1348" t="s">
        <v>2927</v>
      </c>
      <c r="M1348">
        <v>0</v>
      </c>
      <c r="N1348" t="s">
        <v>1397</v>
      </c>
      <c r="O1348" t="s">
        <v>2800</v>
      </c>
      <c r="P1348">
        <v>29.19</v>
      </c>
      <c r="Q1348" s="1">
        <v>45327</v>
      </c>
      <c r="R1348" s="1">
        <v>45336</v>
      </c>
      <c r="S1348" t="s">
        <v>2925</v>
      </c>
    </row>
    <row r="1349" spans="1:19" x14ac:dyDescent="0.3">
      <c r="A1349" s="1">
        <v>45368</v>
      </c>
      <c r="B1349" t="s">
        <v>20</v>
      </c>
      <c r="C1349" t="s">
        <v>26</v>
      </c>
      <c r="D1349">
        <v>10</v>
      </c>
      <c r="E1349">
        <v>68.27</v>
      </c>
      <c r="F1349" t="s">
        <v>32</v>
      </c>
      <c r="G1349" t="s">
        <v>35</v>
      </c>
      <c r="H1349">
        <v>0.15</v>
      </c>
      <c r="I1349" t="s">
        <v>41</v>
      </c>
      <c r="J1349">
        <v>580.29499999999996</v>
      </c>
      <c r="K1349" t="s">
        <v>45</v>
      </c>
      <c r="L1349" t="s">
        <v>2927</v>
      </c>
      <c r="M1349">
        <v>0</v>
      </c>
      <c r="N1349" t="s">
        <v>1398</v>
      </c>
      <c r="O1349" t="s">
        <v>2446</v>
      </c>
      <c r="P1349">
        <v>24.33</v>
      </c>
      <c r="Q1349" s="1">
        <v>45368</v>
      </c>
      <c r="R1349" s="1">
        <v>45378</v>
      </c>
      <c r="S1349" t="s">
        <v>2923</v>
      </c>
    </row>
    <row r="1350" spans="1:19" x14ac:dyDescent="0.3">
      <c r="A1350" s="1">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1">
        <v>45325</v>
      </c>
      <c r="R1350" s="1">
        <v>45331</v>
      </c>
      <c r="S1350" t="s">
        <v>2925</v>
      </c>
    </row>
    <row r="1351" spans="1:19" x14ac:dyDescent="0.3">
      <c r="A1351" s="1">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1">
        <v>45016</v>
      </c>
      <c r="R1351" s="1">
        <v>45026</v>
      </c>
      <c r="S1351" t="s">
        <v>2924</v>
      </c>
    </row>
    <row r="1352" spans="1:19" x14ac:dyDescent="0.3">
      <c r="A1352" s="1">
        <v>45156</v>
      </c>
      <c r="B1352" t="s">
        <v>23</v>
      </c>
      <c r="C1352" t="s">
        <v>29</v>
      </c>
      <c r="D1352">
        <v>16</v>
      </c>
      <c r="E1352">
        <v>174.68</v>
      </c>
      <c r="F1352" t="s">
        <v>31</v>
      </c>
      <c r="G1352" t="s">
        <v>35</v>
      </c>
      <c r="H1352">
        <v>0.15</v>
      </c>
      <c r="I1352" t="s">
        <v>39</v>
      </c>
      <c r="J1352">
        <v>2375.6480000000001</v>
      </c>
      <c r="K1352" t="s">
        <v>45</v>
      </c>
      <c r="L1352" t="s">
        <v>2927</v>
      </c>
      <c r="M1352">
        <v>0</v>
      </c>
      <c r="N1352" t="s">
        <v>1401</v>
      </c>
      <c r="O1352" t="s">
        <v>2639</v>
      </c>
      <c r="P1352">
        <v>45.99</v>
      </c>
      <c r="Q1352" s="1">
        <v>45156</v>
      </c>
      <c r="R1352" s="1">
        <v>45160</v>
      </c>
      <c r="S1352" t="s">
        <v>2926</v>
      </c>
    </row>
    <row r="1353" spans="1:19" x14ac:dyDescent="0.3">
      <c r="A1353" s="1">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1">
        <v>45179</v>
      </c>
      <c r="R1353" s="1">
        <v>45182</v>
      </c>
      <c r="S1353" t="s">
        <v>2925</v>
      </c>
    </row>
    <row r="1354" spans="1:19" x14ac:dyDescent="0.3">
      <c r="A1354" s="1">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1">
        <v>45320</v>
      </c>
      <c r="R1354" s="1">
        <v>45325</v>
      </c>
      <c r="S1354" t="s">
        <v>2923</v>
      </c>
    </row>
    <row r="1355" spans="1:19" x14ac:dyDescent="0.3">
      <c r="A1355" s="1">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1">
        <v>45372</v>
      </c>
      <c r="R1355" s="1">
        <v>45381</v>
      </c>
      <c r="S1355" t="s">
        <v>2924</v>
      </c>
    </row>
    <row r="1356" spans="1:19" x14ac:dyDescent="0.3">
      <c r="A1356" s="1">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1">
        <v>45507</v>
      </c>
      <c r="R1356" s="1">
        <v>45509</v>
      </c>
      <c r="S1356" t="s">
        <v>2926</v>
      </c>
    </row>
    <row r="1357" spans="1:19" x14ac:dyDescent="0.3">
      <c r="A1357" s="1">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1">
        <v>45782</v>
      </c>
      <c r="R1357" s="1">
        <v>45791</v>
      </c>
      <c r="S1357" t="s">
        <v>2924</v>
      </c>
    </row>
    <row r="1358" spans="1:19" x14ac:dyDescent="0.3">
      <c r="A1358" s="1">
        <v>44965</v>
      </c>
      <c r="B1358" t="s">
        <v>23</v>
      </c>
      <c r="C1358" t="s">
        <v>29</v>
      </c>
      <c r="D1358">
        <v>13</v>
      </c>
      <c r="E1358">
        <v>149.16</v>
      </c>
      <c r="F1358" t="s">
        <v>33</v>
      </c>
      <c r="G1358" t="s">
        <v>36</v>
      </c>
      <c r="H1358">
        <v>0.1</v>
      </c>
      <c r="I1358" t="s">
        <v>37</v>
      </c>
      <c r="J1358">
        <v>1745.172</v>
      </c>
      <c r="K1358" t="s">
        <v>47</v>
      </c>
      <c r="L1358" t="s">
        <v>2927</v>
      </c>
      <c r="M1358">
        <v>1</v>
      </c>
      <c r="N1358" t="s">
        <v>1407</v>
      </c>
      <c r="O1358" t="s">
        <v>2113</v>
      </c>
      <c r="P1358">
        <v>20.9</v>
      </c>
      <c r="Q1358" s="1">
        <v>44965</v>
      </c>
      <c r="R1358" s="1">
        <v>44973</v>
      </c>
      <c r="S1358" t="s">
        <v>2926</v>
      </c>
    </row>
    <row r="1359" spans="1:19" x14ac:dyDescent="0.3">
      <c r="A1359" s="1">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1">
        <v>45072</v>
      </c>
      <c r="R1359" s="1">
        <v>45082</v>
      </c>
      <c r="S1359" t="s">
        <v>2925</v>
      </c>
    </row>
    <row r="1360" spans="1:19" x14ac:dyDescent="0.3">
      <c r="A1360" s="1">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1">
        <v>45488</v>
      </c>
      <c r="R1360" s="1">
        <v>45495</v>
      </c>
      <c r="S1360" t="s">
        <v>2922</v>
      </c>
    </row>
    <row r="1361" spans="1:19" x14ac:dyDescent="0.3">
      <c r="A1361" s="1">
        <v>45644</v>
      </c>
      <c r="B1361" t="s">
        <v>21</v>
      </c>
      <c r="C1361" t="s">
        <v>28</v>
      </c>
      <c r="D1361">
        <v>9</v>
      </c>
      <c r="E1361">
        <v>306.42</v>
      </c>
      <c r="F1361" t="s">
        <v>33</v>
      </c>
      <c r="G1361" t="s">
        <v>35</v>
      </c>
      <c r="H1361">
        <v>0</v>
      </c>
      <c r="I1361" t="s">
        <v>42</v>
      </c>
      <c r="J1361">
        <v>2757.78</v>
      </c>
      <c r="K1361" t="s">
        <v>43</v>
      </c>
      <c r="L1361" t="s">
        <v>2927</v>
      </c>
      <c r="M1361">
        <v>0</v>
      </c>
      <c r="N1361" t="s">
        <v>1410</v>
      </c>
      <c r="O1361" t="s">
        <v>2807</v>
      </c>
      <c r="P1361">
        <v>15.81</v>
      </c>
      <c r="Q1361" s="1">
        <v>45644</v>
      </c>
      <c r="R1361" s="1">
        <v>45653</v>
      </c>
      <c r="S1361" t="s">
        <v>2924</v>
      </c>
    </row>
    <row r="1362" spans="1:19" x14ac:dyDescent="0.3">
      <c r="A1362" s="1">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1">
        <v>45564</v>
      </c>
      <c r="R1362" s="1">
        <v>45573</v>
      </c>
      <c r="S1362" t="s">
        <v>2924</v>
      </c>
    </row>
    <row r="1363" spans="1:19" x14ac:dyDescent="0.3">
      <c r="A1363" s="1">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1">
        <v>45590</v>
      </c>
      <c r="R1363" s="1">
        <v>45597</v>
      </c>
      <c r="S1363" t="s">
        <v>2923</v>
      </c>
    </row>
    <row r="1364" spans="1:19" x14ac:dyDescent="0.3">
      <c r="A1364" s="1">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1">
        <v>45663</v>
      </c>
      <c r="R1364" s="1">
        <v>45673</v>
      </c>
      <c r="S1364" t="s">
        <v>2924</v>
      </c>
    </row>
    <row r="1365" spans="1:19" x14ac:dyDescent="0.3">
      <c r="A1365" s="1">
        <v>45249</v>
      </c>
      <c r="B1365" t="s">
        <v>22</v>
      </c>
      <c r="C1365" t="s">
        <v>29</v>
      </c>
      <c r="D1365">
        <v>3</v>
      </c>
      <c r="E1365">
        <v>101.34</v>
      </c>
      <c r="F1365" t="s">
        <v>32</v>
      </c>
      <c r="G1365" t="s">
        <v>35</v>
      </c>
      <c r="H1365">
        <v>0</v>
      </c>
      <c r="I1365" t="s">
        <v>40</v>
      </c>
      <c r="J1365">
        <v>304.02</v>
      </c>
      <c r="K1365" t="s">
        <v>46</v>
      </c>
      <c r="L1365" t="s">
        <v>2927</v>
      </c>
      <c r="M1365">
        <v>0</v>
      </c>
      <c r="N1365" t="s">
        <v>1414</v>
      </c>
      <c r="O1365" t="s">
        <v>2811</v>
      </c>
      <c r="P1365">
        <v>23.15</v>
      </c>
      <c r="Q1365" s="1">
        <v>45249</v>
      </c>
      <c r="R1365" s="1">
        <v>45251</v>
      </c>
      <c r="S1365" t="s">
        <v>2925</v>
      </c>
    </row>
    <row r="1366" spans="1:19" x14ac:dyDescent="0.3">
      <c r="A1366" s="1">
        <v>45393</v>
      </c>
      <c r="B1366" t="s">
        <v>20</v>
      </c>
      <c r="C1366" t="s">
        <v>25</v>
      </c>
      <c r="D1366">
        <v>17</v>
      </c>
      <c r="E1366">
        <v>311.61</v>
      </c>
      <c r="F1366" t="s">
        <v>32</v>
      </c>
      <c r="G1366" t="s">
        <v>36</v>
      </c>
      <c r="H1366">
        <v>0.05</v>
      </c>
      <c r="I1366" t="s">
        <v>37</v>
      </c>
      <c r="J1366">
        <v>5032.5014999999994</v>
      </c>
      <c r="K1366" t="s">
        <v>43</v>
      </c>
      <c r="L1366" t="s">
        <v>2927</v>
      </c>
      <c r="M1366">
        <v>1</v>
      </c>
      <c r="N1366" t="s">
        <v>1415</v>
      </c>
      <c r="O1366" t="s">
        <v>2812</v>
      </c>
      <c r="P1366">
        <v>29.9</v>
      </c>
      <c r="Q1366" s="1">
        <v>45393</v>
      </c>
      <c r="R1366" s="1">
        <v>45399</v>
      </c>
      <c r="S1366" t="s">
        <v>2923</v>
      </c>
    </row>
    <row r="1367" spans="1:19" x14ac:dyDescent="0.3">
      <c r="A1367" s="1">
        <v>45381</v>
      </c>
      <c r="B1367" t="s">
        <v>20</v>
      </c>
      <c r="C1367" t="s">
        <v>28</v>
      </c>
      <c r="D1367">
        <v>2</v>
      </c>
      <c r="E1367">
        <v>441.18</v>
      </c>
      <c r="F1367" t="s">
        <v>31</v>
      </c>
      <c r="G1367" t="s">
        <v>36</v>
      </c>
      <c r="H1367">
        <v>0.15</v>
      </c>
      <c r="I1367" t="s">
        <v>42</v>
      </c>
      <c r="J1367">
        <v>750.00599999999997</v>
      </c>
      <c r="K1367" t="s">
        <v>47</v>
      </c>
      <c r="L1367" t="s">
        <v>2927</v>
      </c>
      <c r="M1367">
        <v>1</v>
      </c>
      <c r="N1367" t="s">
        <v>1416</v>
      </c>
      <c r="O1367" t="s">
        <v>2813</v>
      </c>
      <c r="P1367">
        <v>23.07</v>
      </c>
      <c r="Q1367" s="1">
        <v>45381</v>
      </c>
      <c r="R1367" s="1">
        <v>45388</v>
      </c>
      <c r="S1367" t="s">
        <v>2923</v>
      </c>
    </row>
    <row r="1368" spans="1:19" x14ac:dyDescent="0.3">
      <c r="A1368" s="1">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1">
        <v>45621</v>
      </c>
      <c r="R1368" s="1">
        <v>45625</v>
      </c>
      <c r="S1368" t="s">
        <v>2924</v>
      </c>
    </row>
    <row r="1369" spans="1:19" x14ac:dyDescent="0.3">
      <c r="A1369" s="1">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1">
        <v>45663</v>
      </c>
      <c r="R1369" s="1">
        <v>45672</v>
      </c>
      <c r="S1369" t="s">
        <v>2924</v>
      </c>
    </row>
    <row r="1370" spans="1:19" x14ac:dyDescent="0.3">
      <c r="A1370" s="1">
        <v>45031</v>
      </c>
      <c r="B1370" t="s">
        <v>23</v>
      </c>
      <c r="C1370" t="s">
        <v>29</v>
      </c>
      <c r="D1370">
        <v>8</v>
      </c>
      <c r="E1370">
        <v>304.14999999999998</v>
      </c>
      <c r="F1370" t="s">
        <v>31</v>
      </c>
      <c r="G1370" t="s">
        <v>35</v>
      </c>
      <c r="H1370">
        <v>0.05</v>
      </c>
      <c r="I1370" t="s">
        <v>40</v>
      </c>
      <c r="J1370">
        <v>2311.54</v>
      </c>
      <c r="K1370" t="s">
        <v>46</v>
      </c>
      <c r="L1370" t="s">
        <v>2927</v>
      </c>
      <c r="M1370">
        <v>0</v>
      </c>
      <c r="N1370" t="s">
        <v>1419</v>
      </c>
      <c r="O1370" t="s">
        <v>2815</v>
      </c>
      <c r="P1370">
        <v>41.73</v>
      </c>
      <c r="Q1370" s="1">
        <v>45031</v>
      </c>
      <c r="R1370" s="1">
        <v>45034</v>
      </c>
      <c r="S1370" t="s">
        <v>2926</v>
      </c>
    </row>
    <row r="1371" spans="1:19" x14ac:dyDescent="0.3">
      <c r="A1371" s="1">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1">
        <v>45329</v>
      </c>
      <c r="R1371" s="1">
        <v>45339</v>
      </c>
      <c r="S1371" t="s">
        <v>2922</v>
      </c>
    </row>
    <row r="1372" spans="1:19" x14ac:dyDescent="0.3">
      <c r="A1372" s="1">
        <v>45079</v>
      </c>
      <c r="B1372" t="s">
        <v>19</v>
      </c>
      <c r="C1372" t="s">
        <v>30</v>
      </c>
      <c r="D1372">
        <v>4</v>
      </c>
      <c r="E1372">
        <v>248.16</v>
      </c>
      <c r="F1372" t="s">
        <v>31</v>
      </c>
      <c r="G1372" t="s">
        <v>36</v>
      </c>
      <c r="H1372">
        <v>0.1</v>
      </c>
      <c r="I1372" t="s">
        <v>41</v>
      </c>
      <c r="J1372">
        <v>893.37599999999998</v>
      </c>
      <c r="K1372" t="s">
        <v>45</v>
      </c>
      <c r="L1372" t="s">
        <v>2927</v>
      </c>
      <c r="M1372">
        <v>1</v>
      </c>
      <c r="N1372" t="s">
        <v>1421</v>
      </c>
      <c r="O1372" t="s">
        <v>2817</v>
      </c>
      <c r="P1372">
        <v>45.11</v>
      </c>
      <c r="Q1372" s="1">
        <v>45079</v>
      </c>
      <c r="R1372" s="1">
        <v>45082</v>
      </c>
      <c r="S1372" t="s">
        <v>2922</v>
      </c>
    </row>
    <row r="1373" spans="1:19" x14ac:dyDescent="0.3">
      <c r="A1373" s="1">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1">
        <v>45162</v>
      </c>
      <c r="R1373" s="1">
        <v>45171</v>
      </c>
      <c r="S1373" t="s">
        <v>2922</v>
      </c>
    </row>
    <row r="1374" spans="1:19" x14ac:dyDescent="0.3">
      <c r="A1374" s="1">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1">
        <v>45632</v>
      </c>
      <c r="R1374" s="1">
        <v>45637</v>
      </c>
      <c r="S1374" t="s">
        <v>2923</v>
      </c>
    </row>
    <row r="1375" spans="1:19" x14ac:dyDescent="0.3">
      <c r="A1375" s="1">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1">
        <v>45268</v>
      </c>
      <c r="R1375" s="1">
        <v>45274</v>
      </c>
      <c r="S1375" t="s">
        <v>2922</v>
      </c>
    </row>
    <row r="1376" spans="1:19" x14ac:dyDescent="0.3">
      <c r="A1376" s="1">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1">
        <v>45058</v>
      </c>
      <c r="R1376" s="1">
        <v>45066</v>
      </c>
      <c r="S1376" t="s">
        <v>2923</v>
      </c>
    </row>
    <row r="1377" spans="1:19" x14ac:dyDescent="0.3">
      <c r="A1377" s="1">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1">
        <v>45771</v>
      </c>
      <c r="R1377" s="1">
        <v>45774</v>
      </c>
      <c r="S1377" t="s">
        <v>2926</v>
      </c>
    </row>
    <row r="1378" spans="1:19" x14ac:dyDescent="0.3">
      <c r="A1378" s="1">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1">
        <v>45039</v>
      </c>
      <c r="R1378" s="1">
        <v>45049</v>
      </c>
      <c r="S1378" t="s">
        <v>2925</v>
      </c>
    </row>
    <row r="1379" spans="1:19" x14ac:dyDescent="0.3">
      <c r="A1379" s="1">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1">
        <v>44944</v>
      </c>
      <c r="R1379" s="1">
        <v>44947</v>
      </c>
      <c r="S1379" t="s">
        <v>2924</v>
      </c>
    </row>
    <row r="1380" spans="1:19" x14ac:dyDescent="0.3">
      <c r="A1380" s="1">
        <v>45788</v>
      </c>
      <c r="B1380" t="s">
        <v>21</v>
      </c>
      <c r="C1380" t="s">
        <v>25</v>
      </c>
      <c r="D1380">
        <v>13</v>
      </c>
      <c r="E1380">
        <v>169.39</v>
      </c>
      <c r="F1380" t="s">
        <v>31</v>
      </c>
      <c r="G1380" t="s">
        <v>35</v>
      </c>
      <c r="H1380">
        <v>0.15</v>
      </c>
      <c r="I1380" t="s">
        <v>41</v>
      </c>
      <c r="J1380">
        <v>1871.7594999999999</v>
      </c>
      <c r="K1380" t="s">
        <v>45</v>
      </c>
      <c r="L1380" t="s">
        <v>2927</v>
      </c>
      <c r="M1380">
        <v>0</v>
      </c>
      <c r="N1380" t="s">
        <v>1429</v>
      </c>
      <c r="O1380" t="s">
        <v>2824</v>
      </c>
      <c r="P1380">
        <v>6.81</v>
      </c>
      <c r="Q1380" s="1">
        <v>45788</v>
      </c>
      <c r="R1380" s="1">
        <v>45798</v>
      </c>
      <c r="S1380" t="s">
        <v>2924</v>
      </c>
    </row>
    <row r="1381" spans="1:19" x14ac:dyDescent="0.3">
      <c r="A1381" s="1">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1">
        <v>45649</v>
      </c>
      <c r="R1381" s="1">
        <v>45659</v>
      </c>
      <c r="S1381" t="s">
        <v>2926</v>
      </c>
    </row>
    <row r="1382" spans="1:19" x14ac:dyDescent="0.3">
      <c r="A1382" s="1">
        <v>45158</v>
      </c>
      <c r="B1382" t="s">
        <v>23</v>
      </c>
      <c r="C1382" t="s">
        <v>26</v>
      </c>
      <c r="D1382">
        <v>9</v>
      </c>
      <c r="E1382">
        <v>323.77</v>
      </c>
      <c r="F1382" t="s">
        <v>32</v>
      </c>
      <c r="G1382" t="s">
        <v>35</v>
      </c>
      <c r="H1382">
        <v>0.15</v>
      </c>
      <c r="I1382" t="s">
        <v>40</v>
      </c>
      <c r="J1382">
        <v>2476.8404999999998</v>
      </c>
      <c r="K1382" t="s">
        <v>46</v>
      </c>
      <c r="L1382" t="s">
        <v>2927</v>
      </c>
      <c r="M1382">
        <v>0</v>
      </c>
      <c r="N1382" t="s">
        <v>1431</v>
      </c>
      <c r="O1382" t="s">
        <v>2826</v>
      </c>
      <c r="P1382">
        <v>6.36</v>
      </c>
      <c r="Q1382" s="1">
        <v>45158</v>
      </c>
      <c r="R1382" s="1">
        <v>45166</v>
      </c>
      <c r="S1382" t="s">
        <v>2926</v>
      </c>
    </row>
    <row r="1383" spans="1:19" x14ac:dyDescent="0.3">
      <c r="A1383" s="1">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1">
        <v>45734</v>
      </c>
      <c r="R1383" s="1">
        <v>45739</v>
      </c>
      <c r="S1383" t="s">
        <v>2925</v>
      </c>
    </row>
    <row r="1384" spans="1:19" x14ac:dyDescent="0.3">
      <c r="A1384" s="1">
        <v>45307</v>
      </c>
      <c r="B1384" t="s">
        <v>22</v>
      </c>
      <c r="C1384" t="s">
        <v>25</v>
      </c>
      <c r="D1384">
        <v>4</v>
      </c>
      <c r="E1384">
        <v>78.05</v>
      </c>
      <c r="F1384" t="s">
        <v>32</v>
      </c>
      <c r="G1384" t="s">
        <v>36</v>
      </c>
      <c r="H1384">
        <v>0</v>
      </c>
      <c r="I1384" t="s">
        <v>40</v>
      </c>
      <c r="J1384">
        <v>312.2</v>
      </c>
      <c r="K1384" t="s">
        <v>45</v>
      </c>
      <c r="L1384" t="s">
        <v>2927</v>
      </c>
      <c r="M1384">
        <v>0</v>
      </c>
      <c r="N1384" t="s">
        <v>1433</v>
      </c>
      <c r="O1384" t="s">
        <v>2828</v>
      </c>
      <c r="P1384">
        <v>14.03</v>
      </c>
      <c r="Q1384" s="1">
        <v>45307</v>
      </c>
      <c r="R1384" s="1">
        <v>45315</v>
      </c>
      <c r="S1384" t="s">
        <v>2925</v>
      </c>
    </row>
    <row r="1385" spans="1:19" x14ac:dyDescent="0.3">
      <c r="A1385" s="1">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1">
        <v>45441</v>
      </c>
      <c r="R1385" s="1">
        <v>45451</v>
      </c>
      <c r="S1385" t="s">
        <v>2922</v>
      </c>
    </row>
    <row r="1386" spans="1:19" x14ac:dyDescent="0.3">
      <c r="A1386" s="1">
        <v>45741</v>
      </c>
      <c r="B1386" t="s">
        <v>20</v>
      </c>
      <c r="C1386" t="s">
        <v>24</v>
      </c>
      <c r="D1386">
        <v>9</v>
      </c>
      <c r="E1386">
        <v>454.98</v>
      </c>
      <c r="F1386" t="s">
        <v>31</v>
      </c>
      <c r="G1386" t="s">
        <v>35</v>
      </c>
      <c r="H1386">
        <v>0.15</v>
      </c>
      <c r="I1386" t="s">
        <v>37</v>
      </c>
      <c r="J1386">
        <v>3480.5970000000002</v>
      </c>
      <c r="K1386" t="s">
        <v>45</v>
      </c>
      <c r="L1386" t="s">
        <v>2927</v>
      </c>
      <c r="M1386">
        <v>0</v>
      </c>
      <c r="N1386" t="s">
        <v>1435</v>
      </c>
      <c r="O1386" t="s">
        <v>2830</v>
      </c>
      <c r="P1386">
        <v>40.76</v>
      </c>
      <c r="Q1386" s="1">
        <v>45741</v>
      </c>
      <c r="R1386" s="1">
        <v>45743</v>
      </c>
      <c r="S1386" t="s">
        <v>2923</v>
      </c>
    </row>
    <row r="1387" spans="1:19" x14ac:dyDescent="0.3">
      <c r="A1387" s="1">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1">
        <v>45738</v>
      </c>
      <c r="R1387" s="1">
        <v>45743</v>
      </c>
      <c r="S1387" t="s">
        <v>2925</v>
      </c>
    </row>
    <row r="1388" spans="1:19" x14ac:dyDescent="0.3">
      <c r="A1388" s="1">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1">
        <v>45521</v>
      </c>
      <c r="R1388" s="1">
        <v>45528</v>
      </c>
      <c r="S1388" t="s">
        <v>2922</v>
      </c>
    </row>
    <row r="1389" spans="1:19" x14ac:dyDescent="0.3">
      <c r="A1389" s="1">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1">
        <v>45445</v>
      </c>
      <c r="R1389" s="1">
        <v>45455</v>
      </c>
      <c r="S1389" t="s">
        <v>2923</v>
      </c>
    </row>
    <row r="1390" spans="1:19" x14ac:dyDescent="0.3">
      <c r="A1390" s="1">
        <v>45016</v>
      </c>
      <c r="B1390" t="s">
        <v>20</v>
      </c>
      <c r="C1390" t="s">
        <v>28</v>
      </c>
      <c r="D1390">
        <v>8</v>
      </c>
      <c r="E1390">
        <v>591.29</v>
      </c>
      <c r="F1390" t="s">
        <v>33</v>
      </c>
      <c r="G1390" t="s">
        <v>36</v>
      </c>
      <c r="H1390">
        <v>0.1</v>
      </c>
      <c r="I1390" t="s">
        <v>41</v>
      </c>
      <c r="J1390">
        <v>4257.2879999999996</v>
      </c>
      <c r="K1390" t="s">
        <v>45</v>
      </c>
      <c r="L1390" t="s">
        <v>2927</v>
      </c>
      <c r="M1390">
        <v>1</v>
      </c>
      <c r="N1390" t="s">
        <v>1439</v>
      </c>
      <c r="O1390" t="s">
        <v>2834</v>
      </c>
      <c r="P1390">
        <v>45.14</v>
      </c>
      <c r="Q1390" s="1">
        <v>45016</v>
      </c>
      <c r="R1390" s="1">
        <v>45026</v>
      </c>
      <c r="S1390" t="s">
        <v>2923</v>
      </c>
    </row>
    <row r="1391" spans="1:19" x14ac:dyDescent="0.3">
      <c r="A1391" s="1">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1">
        <v>45431</v>
      </c>
      <c r="R1391" s="1">
        <v>45435</v>
      </c>
      <c r="S1391" t="s">
        <v>2926</v>
      </c>
    </row>
    <row r="1392" spans="1:19" x14ac:dyDescent="0.3">
      <c r="A1392" s="1">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1">
        <v>44987</v>
      </c>
      <c r="R1392" s="1">
        <v>44990</v>
      </c>
      <c r="S1392" t="s">
        <v>2926</v>
      </c>
    </row>
    <row r="1393" spans="1:19" x14ac:dyDescent="0.3">
      <c r="A1393" s="1">
        <v>44998</v>
      </c>
      <c r="B1393" t="s">
        <v>21</v>
      </c>
      <c r="C1393" t="s">
        <v>30</v>
      </c>
      <c r="D1393">
        <v>12</v>
      </c>
      <c r="E1393">
        <v>260.76</v>
      </c>
      <c r="F1393" t="s">
        <v>33</v>
      </c>
      <c r="G1393" t="s">
        <v>35</v>
      </c>
      <c r="H1393">
        <v>0.15</v>
      </c>
      <c r="I1393" t="s">
        <v>40</v>
      </c>
      <c r="J1393">
        <v>2659.752</v>
      </c>
      <c r="K1393" t="s">
        <v>43</v>
      </c>
      <c r="L1393" t="s">
        <v>2927</v>
      </c>
      <c r="M1393">
        <v>0</v>
      </c>
      <c r="N1393" t="s">
        <v>1442</v>
      </c>
      <c r="O1393" t="s">
        <v>2837</v>
      </c>
      <c r="P1393">
        <v>20.92</v>
      </c>
      <c r="Q1393" s="1">
        <v>44998</v>
      </c>
      <c r="R1393" s="1">
        <v>45007</v>
      </c>
      <c r="S1393" t="s">
        <v>2924</v>
      </c>
    </row>
    <row r="1394" spans="1:19" x14ac:dyDescent="0.3">
      <c r="A1394" s="1">
        <v>45763</v>
      </c>
      <c r="B1394" t="s">
        <v>23</v>
      </c>
      <c r="C1394" t="s">
        <v>24</v>
      </c>
      <c r="D1394">
        <v>10</v>
      </c>
      <c r="E1394">
        <v>348.63</v>
      </c>
      <c r="F1394" t="s">
        <v>34</v>
      </c>
      <c r="G1394" t="s">
        <v>35</v>
      </c>
      <c r="H1394">
        <v>0.05</v>
      </c>
      <c r="I1394" t="s">
        <v>41</v>
      </c>
      <c r="J1394">
        <v>3311.9850000000001</v>
      </c>
      <c r="K1394" t="s">
        <v>45</v>
      </c>
      <c r="L1394" t="s">
        <v>2927</v>
      </c>
      <c r="M1394">
        <v>1</v>
      </c>
      <c r="N1394" t="s">
        <v>1443</v>
      </c>
      <c r="O1394" t="s">
        <v>2838</v>
      </c>
      <c r="P1394">
        <v>42.79</v>
      </c>
      <c r="Q1394" s="1">
        <v>45763</v>
      </c>
      <c r="R1394" s="1">
        <v>45765</v>
      </c>
      <c r="S1394" t="s">
        <v>2926</v>
      </c>
    </row>
    <row r="1395" spans="1:19" x14ac:dyDescent="0.3">
      <c r="A1395" s="1">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1">
        <v>45448</v>
      </c>
      <c r="R1395" s="1">
        <v>45458</v>
      </c>
      <c r="S1395" t="s">
        <v>2924</v>
      </c>
    </row>
    <row r="1396" spans="1:19" x14ac:dyDescent="0.3">
      <c r="A1396" s="1">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1">
        <v>45536</v>
      </c>
      <c r="R1396" s="1">
        <v>45540</v>
      </c>
      <c r="S1396" t="s">
        <v>2924</v>
      </c>
    </row>
    <row r="1397" spans="1:19" x14ac:dyDescent="0.3">
      <c r="A1397" s="1">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1">
        <v>45556</v>
      </c>
      <c r="R1397" s="1">
        <v>45565</v>
      </c>
      <c r="S1397" t="s">
        <v>2924</v>
      </c>
    </row>
    <row r="1398" spans="1:19" x14ac:dyDescent="0.3">
      <c r="A1398" s="1">
        <v>45668</v>
      </c>
      <c r="B1398" t="s">
        <v>21</v>
      </c>
      <c r="C1398" t="s">
        <v>26</v>
      </c>
      <c r="D1398">
        <v>4</v>
      </c>
      <c r="E1398">
        <v>323.02</v>
      </c>
      <c r="F1398" t="s">
        <v>33</v>
      </c>
      <c r="G1398" t="s">
        <v>36</v>
      </c>
      <c r="H1398">
        <v>0.05</v>
      </c>
      <c r="I1398" t="s">
        <v>41</v>
      </c>
      <c r="J1398">
        <v>1227.4760000000001</v>
      </c>
      <c r="K1398" t="s">
        <v>47</v>
      </c>
      <c r="L1398" t="s">
        <v>2927</v>
      </c>
      <c r="M1398">
        <v>0</v>
      </c>
      <c r="N1398" t="s">
        <v>1447</v>
      </c>
      <c r="O1398" t="s">
        <v>2840</v>
      </c>
      <c r="P1398">
        <v>19.53</v>
      </c>
      <c r="Q1398" s="1">
        <v>45668</v>
      </c>
      <c r="R1398" s="1">
        <v>45673</v>
      </c>
      <c r="S1398" t="s">
        <v>2924</v>
      </c>
    </row>
    <row r="1399" spans="1:19" x14ac:dyDescent="0.3">
      <c r="A1399" s="1">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1">
        <v>44930</v>
      </c>
      <c r="R1399" s="1">
        <v>44934</v>
      </c>
      <c r="S1399" t="s">
        <v>2926</v>
      </c>
    </row>
    <row r="1400" spans="1:19" x14ac:dyDescent="0.3">
      <c r="A1400" s="1">
        <v>45048</v>
      </c>
      <c r="B1400" t="s">
        <v>23</v>
      </c>
      <c r="C1400" t="s">
        <v>28</v>
      </c>
      <c r="D1400">
        <v>16</v>
      </c>
      <c r="E1400">
        <v>483.09</v>
      </c>
      <c r="F1400" t="s">
        <v>33</v>
      </c>
      <c r="G1400" t="s">
        <v>35</v>
      </c>
      <c r="H1400">
        <v>0.05</v>
      </c>
      <c r="I1400" t="s">
        <v>38</v>
      </c>
      <c r="J1400">
        <v>7342.9679999999989</v>
      </c>
      <c r="K1400" t="s">
        <v>46</v>
      </c>
      <c r="L1400" t="s">
        <v>2927</v>
      </c>
      <c r="M1400">
        <v>1</v>
      </c>
      <c r="N1400" t="s">
        <v>1449</v>
      </c>
      <c r="O1400" t="s">
        <v>2735</v>
      </c>
      <c r="P1400">
        <v>37.659999999999997</v>
      </c>
      <c r="Q1400" s="1">
        <v>45048</v>
      </c>
      <c r="R1400" s="1">
        <v>45051</v>
      </c>
      <c r="S1400" t="s">
        <v>2926</v>
      </c>
    </row>
    <row r="1401" spans="1:19" x14ac:dyDescent="0.3">
      <c r="A1401" s="1">
        <v>45116</v>
      </c>
      <c r="B1401" t="s">
        <v>19</v>
      </c>
      <c r="C1401" t="s">
        <v>25</v>
      </c>
      <c r="D1401">
        <v>13</v>
      </c>
      <c r="E1401">
        <v>27.39</v>
      </c>
      <c r="F1401" t="s">
        <v>31</v>
      </c>
      <c r="G1401" t="s">
        <v>36</v>
      </c>
      <c r="H1401">
        <v>0.15</v>
      </c>
      <c r="I1401" t="s">
        <v>39</v>
      </c>
      <c r="J1401">
        <v>302.65949999999998</v>
      </c>
      <c r="K1401" t="s">
        <v>47</v>
      </c>
      <c r="L1401" t="s">
        <v>2927</v>
      </c>
      <c r="M1401">
        <v>0</v>
      </c>
      <c r="N1401" t="s">
        <v>1450</v>
      </c>
      <c r="O1401" t="s">
        <v>2842</v>
      </c>
      <c r="P1401">
        <v>22.95</v>
      </c>
      <c r="Q1401" s="1">
        <v>45116</v>
      </c>
      <c r="R1401" s="1">
        <v>45121</v>
      </c>
      <c r="S1401" t="s">
        <v>2922</v>
      </c>
    </row>
    <row r="1402" spans="1:19" x14ac:dyDescent="0.3">
      <c r="A1402" s="1">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1">
        <v>45715</v>
      </c>
      <c r="R1402" s="1">
        <v>45720</v>
      </c>
      <c r="S1402" t="s">
        <v>2922</v>
      </c>
    </row>
    <row r="1403" spans="1:19" x14ac:dyDescent="0.3">
      <c r="A1403" s="1">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1">
        <v>45558</v>
      </c>
      <c r="R1403" s="1">
        <v>45564</v>
      </c>
      <c r="S1403" t="s">
        <v>2926</v>
      </c>
    </row>
    <row r="1404" spans="1:19" x14ac:dyDescent="0.3">
      <c r="A1404" s="1">
        <v>45830</v>
      </c>
      <c r="B1404" t="s">
        <v>19</v>
      </c>
      <c r="C1404" t="s">
        <v>29</v>
      </c>
      <c r="D1404">
        <v>5</v>
      </c>
      <c r="E1404">
        <v>414.58</v>
      </c>
      <c r="F1404" t="s">
        <v>31</v>
      </c>
      <c r="G1404" t="s">
        <v>36</v>
      </c>
      <c r="H1404">
        <v>0.1</v>
      </c>
      <c r="I1404" t="s">
        <v>41</v>
      </c>
      <c r="J1404">
        <v>1865.61</v>
      </c>
      <c r="K1404" t="s">
        <v>44</v>
      </c>
      <c r="L1404" t="s">
        <v>2927</v>
      </c>
      <c r="M1404">
        <v>0</v>
      </c>
      <c r="N1404" t="s">
        <v>1453</v>
      </c>
      <c r="O1404" t="s">
        <v>2844</v>
      </c>
      <c r="P1404">
        <v>14.98</v>
      </c>
      <c r="Q1404" s="1">
        <v>45830</v>
      </c>
      <c r="R1404" s="1">
        <v>45839</v>
      </c>
      <c r="S1404" t="s">
        <v>2922</v>
      </c>
    </row>
    <row r="1405" spans="1:19" x14ac:dyDescent="0.3">
      <c r="A1405" s="1">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1">
        <v>45676</v>
      </c>
      <c r="R1405" s="1">
        <v>45685</v>
      </c>
      <c r="S1405" t="s">
        <v>2925</v>
      </c>
    </row>
    <row r="1406" spans="1:19" x14ac:dyDescent="0.3">
      <c r="A1406" s="1">
        <v>45691</v>
      </c>
      <c r="B1406" t="s">
        <v>19</v>
      </c>
      <c r="C1406" t="s">
        <v>25</v>
      </c>
      <c r="D1406">
        <v>10</v>
      </c>
      <c r="E1406">
        <v>407.99</v>
      </c>
      <c r="F1406" t="s">
        <v>33</v>
      </c>
      <c r="G1406" t="s">
        <v>36</v>
      </c>
      <c r="H1406">
        <v>0.15</v>
      </c>
      <c r="I1406" t="s">
        <v>37</v>
      </c>
      <c r="J1406">
        <v>3467.915</v>
      </c>
      <c r="K1406" t="s">
        <v>47</v>
      </c>
      <c r="L1406" t="s">
        <v>2927</v>
      </c>
      <c r="M1406">
        <v>0</v>
      </c>
      <c r="N1406" t="s">
        <v>1455</v>
      </c>
      <c r="O1406" t="s">
        <v>2846</v>
      </c>
      <c r="P1406">
        <v>49.59</v>
      </c>
      <c r="Q1406" s="1">
        <v>45691</v>
      </c>
      <c r="R1406" s="1">
        <v>45696</v>
      </c>
      <c r="S1406" t="s">
        <v>2922</v>
      </c>
    </row>
    <row r="1407" spans="1:19" x14ac:dyDescent="0.3">
      <c r="A1407" s="1">
        <v>45241</v>
      </c>
      <c r="B1407" t="s">
        <v>19</v>
      </c>
      <c r="C1407" t="s">
        <v>29</v>
      </c>
      <c r="D1407">
        <v>15</v>
      </c>
      <c r="E1407">
        <v>274.77</v>
      </c>
      <c r="F1407" t="s">
        <v>34</v>
      </c>
      <c r="G1407" t="s">
        <v>36</v>
      </c>
      <c r="H1407">
        <v>0</v>
      </c>
      <c r="I1407" t="s">
        <v>37</v>
      </c>
      <c r="J1407">
        <v>4121.5499999999993</v>
      </c>
      <c r="K1407" t="s">
        <v>47</v>
      </c>
      <c r="L1407" t="s">
        <v>2927</v>
      </c>
      <c r="M1407">
        <v>1</v>
      </c>
      <c r="N1407" t="s">
        <v>1456</v>
      </c>
      <c r="O1407" t="s">
        <v>2847</v>
      </c>
      <c r="P1407">
        <v>19.37</v>
      </c>
      <c r="Q1407" s="1">
        <v>45241</v>
      </c>
      <c r="R1407" s="1">
        <v>45247</v>
      </c>
      <c r="S1407" t="s">
        <v>2922</v>
      </c>
    </row>
    <row r="1408" spans="1:19" x14ac:dyDescent="0.3">
      <c r="A1408" s="1">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1">
        <v>45420</v>
      </c>
      <c r="R1408" s="1">
        <v>45422</v>
      </c>
      <c r="S1408" t="s">
        <v>2922</v>
      </c>
    </row>
    <row r="1409" spans="1:19" x14ac:dyDescent="0.3">
      <c r="A1409" s="1">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1">
        <v>45187</v>
      </c>
      <c r="R1409" s="1">
        <v>45196</v>
      </c>
      <c r="S1409" t="s">
        <v>2923</v>
      </c>
    </row>
    <row r="1410" spans="1:19" x14ac:dyDescent="0.3">
      <c r="A1410" s="1">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1">
        <v>45752</v>
      </c>
      <c r="R1410" s="1">
        <v>45760</v>
      </c>
      <c r="S1410" t="s">
        <v>2925</v>
      </c>
    </row>
    <row r="1411" spans="1:19" x14ac:dyDescent="0.3">
      <c r="A1411" s="1">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1">
        <v>45182</v>
      </c>
      <c r="R1411" s="1">
        <v>45184</v>
      </c>
      <c r="S1411" t="s">
        <v>2925</v>
      </c>
    </row>
    <row r="1412" spans="1:19" x14ac:dyDescent="0.3">
      <c r="A1412" s="1">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1">
        <v>45471</v>
      </c>
      <c r="R1412" s="1">
        <v>45479</v>
      </c>
      <c r="S1412" t="s">
        <v>2922</v>
      </c>
    </row>
    <row r="1413" spans="1:19" x14ac:dyDescent="0.3">
      <c r="A1413" s="1">
        <v>45022</v>
      </c>
      <c r="B1413" t="s">
        <v>22</v>
      </c>
      <c r="C1413" t="s">
        <v>27</v>
      </c>
      <c r="D1413">
        <v>6</v>
      </c>
      <c r="E1413">
        <v>544.33000000000004</v>
      </c>
      <c r="F1413" t="s">
        <v>31</v>
      </c>
      <c r="G1413" t="s">
        <v>35</v>
      </c>
      <c r="H1413">
        <v>0.1</v>
      </c>
      <c r="I1413" t="s">
        <v>40</v>
      </c>
      <c r="J1413">
        <v>2939.382000000001</v>
      </c>
      <c r="K1413" t="s">
        <v>47</v>
      </c>
      <c r="L1413" t="s">
        <v>2927</v>
      </c>
      <c r="M1413">
        <v>0</v>
      </c>
      <c r="N1413" t="s">
        <v>1462</v>
      </c>
      <c r="O1413" t="s">
        <v>2009</v>
      </c>
      <c r="P1413">
        <v>11.52</v>
      </c>
      <c r="Q1413" s="1">
        <v>45022</v>
      </c>
      <c r="R1413" s="1">
        <v>45024</v>
      </c>
      <c r="S1413" t="s">
        <v>2925</v>
      </c>
    </row>
    <row r="1414" spans="1:19" x14ac:dyDescent="0.3">
      <c r="A1414" s="1">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1">
        <v>45059</v>
      </c>
      <c r="R1414" s="1">
        <v>45064</v>
      </c>
      <c r="S1414" t="s">
        <v>2923</v>
      </c>
    </row>
    <row r="1415" spans="1:19" x14ac:dyDescent="0.3">
      <c r="A1415" s="1">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1">
        <v>45784</v>
      </c>
      <c r="R1415" s="1">
        <v>45792</v>
      </c>
      <c r="S1415" t="s">
        <v>2922</v>
      </c>
    </row>
    <row r="1416" spans="1:19" x14ac:dyDescent="0.3">
      <c r="A1416" s="1">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1">
        <v>45738</v>
      </c>
      <c r="R1416" s="1">
        <v>45743</v>
      </c>
      <c r="S1416" t="s">
        <v>2924</v>
      </c>
    </row>
    <row r="1417" spans="1:19" x14ac:dyDescent="0.3">
      <c r="A1417" s="1">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1">
        <v>45467</v>
      </c>
      <c r="R1417" s="1">
        <v>45475</v>
      </c>
      <c r="S1417" t="s">
        <v>2923</v>
      </c>
    </row>
    <row r="1418" spans="1:19" x14ac:dyDescent="0.3">
      <c r="A1418" s="1">
        <v>45837</v>
      </c>
      <c r="B1418" t="s">
        <v>23</v>
      </c>
      <c r="C1418" t="s">
        <v>29</v>
      </c>
      <c r="D1418">
        <v>9</v>
      </c>
      <c r="E1418">
        <v>533.92999999999995</v>
      </c>
      <c r="F1418" t="s">
        <v>34</v>
      </c>
      <c r="G1418" t="s">
        <v>36</v>
      </c>
      <c r="H1418">
        <v>0.15</v>
      </c>
      <c r="I1418" t="s">
        <v>39</v>
      </c>
      <c r="J1418">
        <v>4084.5645</v>
      </c>
      <c r="K1418" t="s">
        <v>44</v>
      </c>
      <c r="L1418" t="s">
        <v>2927</v>
      </c>
      <c r="M1418">
        <v>0</v>
      </c>
      <c r="N1418" t="s">
        <v>1467</v>
      </c>
      <c r="O1418" t="s">
        <v>2854</v>
      </c>
      <c r="P1418">
        <v>34.76</v>
      </c>
      <c r="Q1418" s="1">
        <v>45837</v>
      </c>
      <c r="R1418" s="1">
        <v>45841</v>
      </c>
      <c r="S1418" t="s">
        <v>2926</v>
      </c>
    </row>
    <row r="1419" spans="1:19" x14ac:dyDescent="0.3">
      <c r="A1419" s="1">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1">
        <v>45383</v>
      </c>
      <c r="R1419" s="1">
        <v>45392</v>
      </c>
      <c r="S1419" t="s">
        <v>2926</v>
      </c>
    </row>
    <row r="1420" spans="1:19" x14ac:dyDescent="0.3">
      <c r="A1420" s="1">
        <v>45447</v>
      </c>
      <c r="B1420" t="s">
        <v>21</v>
      </c>
      <c r="C1420" t="s">
        <v>29</v>
      </c>
      <c r="D1420">
        <v>11</v>
      </c>
      <c r="E1420">
        <v>160.37</v>
      </c>
      <c r="F1420" t="s">
        <v>31</v>
      </c>
      <c r="G1420" t="s">
        <v>35</v>
      </c>
      <c r="H1420">
        <v>0.05</v>
      </c>
      <c r="I1420" t="s">
        <v>40</v>
      </c>
      <c r="J1420">
        <v>1675.8665000000001</v>
      </c>
      <c r="K1420" t="s">
        <v>47</v>
      </c>
      <c r="L1420" t="s">
        <v>2927</v>
      </c>
      <c r="M1420">
        <v>0</v>
      </c>
      <c r="N1420" t="s">
        <v>1469</v>
      </c>
      <c r="O1420" t="s">
        <v>2856</v>
      </c>
      <c r="P1420">
        <v>36.049999999999997</v>
      </c>
      <c r="Q1420" s="1">
        <v>45447</v>
      </c>
      <c r="R1420" s="1">
        <v>45457</v>
      </c>
      <c r="S1420" t="s">
        <v>2924</v>
      </c>
    </row>
    <row r="1421" spans="1:19" x14ac:dyDescent="0.3">
      <c r="A1421" s="1">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1">
        <v>45015</v>
      </c>
      <c r="R1421" s="1">
        <v>45022</v>
      </c>
      <c r="S1421" t="s">
        <v>2922</v>
      </c>
    </row>
    <row r="1422" spans="1:19" x14ac:dyDescent="0.3">
      <c r="A1422" s="1">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1">
        <v>45742</v>
      </c>
      <c r="R1422" s="1">
        <v>45744</v>
      </c>
      <c r="S1422" t="s">
        <v>2922</v>
      </c>
    </row>
    <row r="1423" spans="1:19" x14ac:dyDescent="0.3">
      <c r="A1423" s="1">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1">
        <v>45160</v>
      </c>
      <c r="R1423" s="1">
        <v>45162</v>
      </c>
      <c r="S1423" t="s">
        <v>2926</v>
      </c>
    </row>
    <row r="1424" spans="1:19" x14ac:dyDescent="0.3">
      <c r="A1424" s="1">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1">
        <v>45398</v>
      </c>
      <c r="R1424" s="1">
        <v>45402</v>
      </c>
      <c r="S1424" t="s">
        <v>2923</v>
      </c>
    </row>
    <row r="1425" spans="1:19" x14ac:dyDescent="0.3">
      <c r="A1425" s="1">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1">
        <v>45788</v>
      </c>
      <c r="R1425" s="1">
        <v>45796</v>
      </c>
      <c r="S1425" t="s">
        <v>2925</v>
      </c>
    </row>
    <row r="1426" spans="1:19" x14ac:dyDescent="0.3">
      <c r="A1426" s="1">
        <v>45271</v>
      </c>
      <c r="B1426" t="s">
        <v>21</v>
      </c>
      <c r="C1426" t="s">
        <v>30</v>
      </c>
      <c r="D1426">
        <v>16</v>
      </c>
      <c r="E1426">
        <v>438.71</v>
      </c>
      <c r="F1426" t="s">
        <v>33</v>
      </c>
      <c r="G1426" t="s">
        <v>36</v>
      </c>
      <c r="H1426">
        <v>0</v>
      </c>
      <c r="I1426" t="s">
        <v>38</v>
      </c>
      <c r="J1426">
        <v>7019.36</v>
      </c>
      <c r="K1426" t="s">
        <v>43</v>
      </c>
      <c r="L1426" t="s">
        <v>2927</v>
      </c>
      <c r="M1426">
        <v>0</v>
      </c>
      <c r="N1426" t="s">
        <v>1475</v>
      </c>
      <c r="O1426" t="s">
        <v>2860</v>
      </c>
      <c r="P1426">
        <v>6.53</v>
      </c>
      <c r="Q1426" s="1">
        <v>45271</v>
      </c>
      <c r="R1426" s="1">
        <v>45281</v>
      </c>
      <c r="S1426" t="s">
        <v>2924</v>
      </c>
    </row>
    <row r="1427" spans="1:19" x14ac:dyDescent="0.3">
      <c r="A1427" s="1">
        <v>44942</v>
      </c>
      <c r="B1427" t="s">
        <v>21</v>
      </c>
      <c r="C1427" t="s">
        <v>30</v>
      </c>
      <c r="D1427">
        <v>10</v>
      </c>
      <c r="E1427">
        <v>193.96</v>
      </c>
      <c r="F1427" t="s">
        <v>34</v>
      </c>
      <c r="G1427" t="s">
        <v>35</v>
      </c>
      <c r="H1427">
        <v>0.1</v>
      </c>
      <c r="I1427" t="s">
        <v>38</v>
      </c>
      <c r="J1427">
        <v>1745.64</v>
      </c>
      <c r="K1427" t="s">
        <v>44</v>
      </c>
      <c r="L1427" t="s">
        <v>2927</v>
      </c>
      <c r="M1427">
        <v>0</v>
      </c>
      <c r="N1427" t="s">
        <v>1476</v>
      </c>
      <c r="O1427" t="s">
        <v>2861</v>
      </c>
      <c r="P1427">
        <v>41.3</v>
      </c>
      <c r="Q1427" s="1">
        <v>44942</v>
      </c>
      <c r="R1427" s="1">
        <v>44947</v>
      </c>
      <c r="S1427" t="s">
        <v>2924</v>
      </c>
    </row>
    <row r="1428" spans="1:19" x14ac:dyDescent="0.3">
      <c r="A1428" s="1">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1">
        <v>45056</v>
      </c>
      <c r="R1428" s="1">
        <v>45063</v>
      </c>
      <c r="S1428" t="s">
        <v>2922</v>
      </c>
    </row>
    <row r="1429" spans="1:19" x14ac:dyDescent="0.3">
      <c r="A1429" s="1">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1">
        <v>45465</v>
      </c>
      <c r="R1429" s="1">
        <v>45472</v>
      </c>
      <c r="S1429" t="s">
        <v>2925</v>
      </c>
    </row>
    <row r="1430" spans="1:19" x14ac:dyDescent="0.3">
      <c r="A1430" s="1">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1">
        <v>45745</v>
      </c>
      <c r="R1430" s="1">
        <v>45754</v>
      </c>
      <c r="S1430" t="s">
        <v>2926</v>
      </c>
    </row>
    <row r="1431" spans="1:19" x14ac:dyDescent="0.3">
      <c r="A1431" s="1">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1">
        <v>45034</v>
      </c>
      <c r="R1431" s="1">
        <v>45039</v>
      </c>
      <c r="S1431" t="s">
        <v>2924</v>
      </c>
    </row>
    <row r="1432" spans="1:19" x14ac:dyDescent="0.3">
      <c r="A1432" s="1">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1">
        <v>44964</v>
      </c>
      <c r="R1432" s="1">
        <v>44966</v>
      </c>
      <c r="S1432" t="s">
        <v>2925</v>
      </c>
    </row>
    <row r="1433" spans="1:19" x14ac:dyDescent="0.3">
      <c r="A1433" s="1">
        <v>45679</v>
      </c>
      <c r="B1433" t="s">
        <v>19</v>
      </c>
      <c r="C1433" t="s">
        <v>29</v>
      </c>
      <c r="D1433">
        <v>17</v>
      </c>
      <c r="E1433">
        <v>8.33</v>
      </c>
      <c r="F1433" t="s">
        <v>32</v>
      </c>
      <c r="G1433" t="s">
        <v>36</v>
      </c>
      <c r="H1433">
        <v>0.05</v>
      </c>
      <c r="I1433" t="s">
        <v>37</v>
      </c>
      <c r="J1433">
        <v>134.52950000000001</v>
      </c>
      <c r="K1433" t="s">
        <v>47</v>
      </c>
      <c r="L1433" t="s">
        <v>2927</v>
      </c>
      <c r="M1433">
        <v>0</v>
      </c>
      <c r="N1433" t="s">
        <v>1482</v>
      </c>
      <c r="O1433" t="s">
        <v>2867</v>
      </c>
      <c r="P1433">
        <v>43.29</v>
      </c>
      <c r="Q1433" s="1">
        <v>45679</v>
      </c>
      <c r="R1433" s="1">
        <v>45682</v>
      </c>
      <c r="S1433" t="s">
        <v>2922</v>
      </c>
    </row>
    <row r="1434" spans="1:19" x14ac:dyDescent="0.3">
      <c r="A1434" s="1">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1">
        <v>45111</v>
      </c>
      <c r="R1434" s="1">
        <v>45119</v>
      </c>
      <c r="S1434" t="s">
        <v>2922</v>
      </c>
    </row>
    <row r="1435" spans="1:19" x14ac:dyDescent="0.3">
      <c r="A1435" s="1">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1">
        <v>45138</v>
      </c>
      <c r="R1435" s="1">
        <v>45141</v>
      </c>
      <c r="S1435" t="s">
        <v>2925</v>
      </c>
    </row>
    <row r="1436" spans="1:19" x14ac:dyDescent="0.3">
      <c r="A1436" s="1">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1">
        <v>45036</v>
      </c>
      <c r="R1436" s="1">
        <v>45043</v>
      </c>
      <c r="S1436" t="s">
        <v>2924</v>
      </c>
    </row>
    <row r="1437" spans="1:19" x14ac:dyDescent="0.3">
      <c r="A1437" s="1">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1">
        <v>45573</v>
      </c>
      <c r="R1437" s="1">
        <v>45576</v>
      </c>
      <c r="S1437" t="s">
        <v>2925</v>
      </c>
    </row>
    <row r="1438" spans="1:19" x14ac:dyDescent="0.3">
      <c r="A1438" s="1">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1">
        <v>45316</v>
      </c>
      <c r="R1438" s="1">
        <v>45318</v>
      </c>
      <c r="S1438" t="s">
        <v>2922</v>
      </c>
    </row>
    <row r="1439" spans="1:19" x14ac:dyDescent="0.3">
      <c r="A1439" s="1">
        <v>45642</v>
      </c>
      <c r="B1439" t="s">
        <v>20</v>
      </c>
      <c r="C1439" t="s">
        <v>28</v>
      </c>
      <c r="D1439">
        <v>4</v>
      </c>
      <c r="E1439">
        <v>557.16999999999996</v>
      </c>
      <c r="F1439" t="s">
        <v>33</v>
      </c>
      <c r="G1439" t="s">
        <v>35</v>
      </c>
      <c r="H1439">
        <v>0.05</v>
      </c>
      <c r="I1439" t="s">
        <v>39</v>
      </c>
      <c r="J1439">
        <v>2117.2460000000001</v>
      </c>
      <c r="K1439" t="s">
        <v>45</v>
      </c>
      <c r="L1439" t="s">
        <v>2927</v>
      </c>
      <c r="M1439">
        <v>0</v>
      </c>
      <c r="N1439" t="s">
        <v>1488</v>
      </c>
      <c r="O1439" t="s">
        <v>2873</v>
      </c>
      <c r="P1439">
        <v>32.159999999999997</v>
      </c>
      <c r="Q1439" s="1">
        <v>45642</v>
      </c>
      <c r="R1439" s="1">
        <v>45651</v>
      </c>
      <c r="S1439" t="s">
        <v>2923</v>
      </c>
    </row>
    <row r="1440" spans="1:19" x14ac:dyDescent="0.3">
      <c r="A1440" s="1">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1">
        <v>45589</v>
      </c>
      <c r="R1440" s="1">
        <v>45597</v>
      </c>
      <c r="S1440" t="s">
        <v>2925</v>
      </c>
    </row>
    <row r="1441" spans="1:19" x14ac:dyDescent="0.3">
      <c r="A1441" s="1">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1">
        <v>45246</v>
      </c>
      <c r="R1441" s="1">
        <v>45250</v>
      </c>
      <c r="S1441" t="s">
        <v>2926</v>
      </c>
    </row>
    <row r="1442" spans="1:19" x14ac:dyDescent="0.3">
      <c r="A1442" s="1">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1">
        <v>45382</v>
      </c>
      <c r="R1442" s="1">
        <v>45390</v>
      </c>
      <c r="S1442" t="s">
        <v>2923</v>
      </c>
    </row>
    <row r="1443" spans="1:19" x14ac:dyDescent="0.3">
      <c r="A1443" s="1">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1">
        <v>44970</v>
      </c>
      <c r="R1443" s="1">
        <v>44975</v>
      </c>
      <c r="S1443" t="s">
        <v>2922</v>
      </c>
    </row>
    <row r="1444" spans="1:19" x14ac:dyDescent="0.3">
      <c r="A1444" s="1">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1">
        <v>45189</v>
      </c>
      <c r="R1444" s="1">
        <v>45196</v>
      </c>
      <c r="S1444" t="s">
        <v>2923</v>
      </c>
    </row>
    <row r="1445" spans="1:19" x14ac:dyDescent="0.3">
      <c r="A1445" s="1">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1">
        <v>45104</v>
      </c>
      <c r="R1445" s="1">
        <v>45114</v>
      </c>
      <c r="S1445" t="s">
        <v>2923</v>
      </c>
    </row>
    <row r="1446" spans="1:19" x14ac:dyDescent="0.3">
      <c r="A1446" s="1">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1">
        <v>45749</v>
      </c>
      <c r="R1446" s="1">
        <v>45753</v>
      </c>
      <c r="S1446" t="s">
        <v>2925</v>
      </c>
    </row>
    <row r="1447" spans="1:19" x14ac:dyDescent="0.3">
      <c r="A1447" s="1">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1">
        <v>45763</v>
      </c>
      <c r="R1447" s="1">
        <v>45773</v>
      </c>
      <c r="S1447" t="s">
        <v>2924</v>
      </c>
    </row>
    <row r="1448" spans="1:19" x14ac:dyDescent="0.3">
      <c r="A1448" s="1">
        <v>45482</v>
      </c>
      <c r="B1448" t="s">
        <v>22</v>
      </c>
      <c r="C1448" t="s">
        <v>24</v>
      </c>
      <c r="D1448">
        <v>16</v>
      </c>
      <c r="E1448">
        <v>55.56</v>
      </c>
      <c r="F1448" t="s">
        <v>34</v>
      </c>
      <c r="G1448" t="s">
        <v>35</v>
      </c>
      <c r="H1448">
        <v>0.15</v>
      </c>
      <c r="I1448" t="s">
        <v>39</v>
      </c>
      <c r="J1448">
        <v>755.61599999999999</v>
      </c>
      <c r="K1448" t="s">
        <v>47</v>
      </c>
      <c r="L1448" t="s">
        <v>2927</v>
      </c>
      <c r="M1448">
        <v>1</v>
      </c>
      <c r="N1448" t="s">
        <v>1497</v>
      </c>
      <c r="O1448" t="s">
        <v>2880</v>
      </c>
      <c r="P1448">
        <v>17.809999999999999</v>
      </c>
      <c r="Q1448" s="1">
        <v>45482</v>
      </c>
      <c r="R1448" s="1">
        <v>45490</v>
      </c>
      <c r="S1448" t="s">
        <v>2925</v>
      </c>
    </row>
    <row r="1449" spans="1:19" x14ac:dyDescent="0.3">
      <c r="A1449" s="1">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1">
        <v>45831</v>
      </c>
      <c r="R1449" s="1">
        <v>45841</v>
      </c>
      <c r="S1449" t="s">
        <v>2922</v>
      </c>
    </row>
    <row r="1450" spans="1:19" x14ac:dyDescent="0.3">
      <c r="A1450" s="1">
        <v>45452</v>
      </c>
      <c r="B1450" t="s">
        <v>19</v>
      </c>
      <c r="C1450" t="s">
        <v>29</v>
      </c>
      <c r="D1450">
        <v>11</v>
      </c>
      <c r="E1450">
        <v>185.59</v>
      </c>
      <c r="F1450" t="s">
        <v>31</v>
      </c>
      <c r="G1450" t="s">
        <v>36</v>
      </c>
      <c r="H1450">
        <v>0.1</v>
      </c>
      <c r="I1450" t="s">
        <v>40</v>
      </c>
      <c r="J1450">
        <v>1837.3409999999999</v>
      </c>
      <c r="K1450" t="s">
        <v>44</v>
      </c>
      <c r="L1450" t="s">
        <v>2927</v>
      </c>
      <c r="M1450">
        <v>0</v>
      </c>
      <c r="N1450" t="s">
        <v>1499</v>
      </c>
      <c r="O1450" t="s">
        <v>2327</v>
      </c>
      <c r="P1450">
        <v>45.19</v>
      </c>
      <c r="Q1450" s="1">
        <v>45452</v>
      </c>
      <c r="R1450" s="1">
        <v>45461</v>
      </c>
      <c r="S1450" t="s">
        <v>2922</v>
      </c>
    </row>
    <row r="1451" spans="1:19" x14ac:dyDescent="0.3">
      <c r="A1451" s="1">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1">
        <v>45261</v>
      </c>
      <c r="R1451" s="1">
        <v>45263</v>
      </c>
      <c r="S1451" t="s">
        <v>2925</v>
      </c>
    </row>
    <row r="1452" spans="1:19" x14ac:dyDescent="0.3">
      <c r="A1452" s="1">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1">
        <v>45497</v>
      </c>
      <c r="R1452" s="1">
        <v>45503</v>
      </c>
      <c r="S1452" t="s">
        <v>2926</v>
      </c>
    </row>
    <row r="1453" spans="1:19" x14ac:dyDescent="0.3">
      <c r="A1453" s="1">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1">
        <v>45028</v>
      </c>
      <c r="R1453" s="1">
        <v>45035</v>
      </c>
      <c r="S1453" t="s">
        <v>2926</v>
      </c>
    </row>
    <row r="1454" spans="1:19" x14ac:dyDescent="0.3">
      <c r="A1454" s="1">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1">
        <v>45643</v>
      </c>
      <c r="R1454" s="1">
        <v>45652</v>
      </c>
      <c r="S1454" t="s">
        <v>2924</v>
      </c>
    </row>
    <row r="1455" spans="1:19" x14ac:dyDescent="0.3">
      <c r="A1455" s="1">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1">
        <v>45512</v>
      </c>
      <c r="R1455" s="1">
        <v>45518</v>
      </c>
      <c r="S1455" t="s">
        <v>2923</v>
      </c>
    </row>
    <row r="1456" spans="1:19" x14ac:dyDescent="0.3">
      <c r="A1456" s="1">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1">
        <v>45550</v>
      </c>
      <c r="R1456" s="1">
        <v>45557</v>
      </c>
      <c r="S1456" t="s">
        <v>2922</v>
      </c>
    </row>
    <row r="1457" spans="1:19" x14ac:dyDescent="0.3">
      <c r="A1457" s="1">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1">
        <v>45207</v>
      </c>
      <c r="R1457" s="1">
        <v>45209</v>
      </c>
      <c r="S1457" t="s">
        <v>2923</v>
      </c>
    </row>
    <row r="1458" spans="1:19" x14ac:dyDescent="0.3">
      <c r="A1458" s="1">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1">
        <v>45800</v>
      </c>
      <c r="R1458" s="1">
        <v>45804</v>
      </c>
      <c r="S1458" t="s">
        <v>2923</v>
      </c>
    </row>
    <row r="1459" spans="1:19" x14ac:dyDescent="0.3">
      <c r="A1459" s="1">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1">
        <v>44928</v>
      </c>
      <c r="R1459" s="1">
        <v>44938</v>
      </c>
      <c r="S1459" t="s">
        <v>2923</v>
      </c>
    </row>
    <row r="1460" spans="1:19" x14ac:dyDescent="0.3">
      <c r="A1460" s="1">
        <v>45218</v>
      </c>
      <c r="B1460" t="s">
        <v>21</v>
      </c>
      <c r="C1460" t="s">
        <v>26</v>
      </c>
      <c r="D1460">
        <v>15</v>
      </c>
      <c r="E1460">
        <v>434.44</v>
      </c>
      <c r="F1460" t="s">
        <v>31</v>
      </c>
      <c r="G1460" t="s">
        <v>35</v>
      </c>
      <c r="H1460">
        <v>0</v>
      </c>
      <c r="I1460" t="s">
        <v>42</v>
      </c>
      <c r="J1460">
        <v>6516.6</v>
      </c>
      <c r="K1460" t="s">
        <v>46</v>
      </c>
      <c r="L1460" t="s">
        <v>2927</v>
      </c>
      <c r="M1460">
        <v>1</v>
      </c>
      <c r="N1460" t="s">
        <v>1509</v>
      </c>
      <c r="O1460" t="s">
        <v>2887</v>
      </c>
      <c r="P1460">
        <v>33.86</v>
      </c>
      <c r="Q1460" s="1">
        <v>45218</v>
      </c>
      <c r="R1460" s="1">
        <v>45227</v>
      </c>
      <c r="S1460" t="s">
        <v>2924</v>
      </c>
    </row>
    <row r="1461" spans="1:19" x14ac:dyDescent="0.3">
      <c r="A1461" s="1">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1">
        <v>45772</v>
      </c>
      <c r="R1461" s="1">
        <v>45778</v>
      </c>
      <c r="S1461" t="s">
        <v>2926</v>
      </c>
    </row>
    <row r="1462" spans="1:19" x14ac:dyDescent="0.3">
      <c r="A1462" s="1">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1">
        <v>45382</v>
      </c>
      <c r="R1462" s="1">
        <v>45386</v>
      </c>
      <c r="S1462" t="s">
        <v>2925</v>
      </c>
    </row>
    <row r="1463" spans="1:19" x14ac:dyDescent="0.3">
      <c r="A1463" s="1">
        <v>45688</v>
      </c>
      <c r="B1463" t="s">
        <v>21</v>
      </c>
      <c r="C1463" t="s">
        <v>30</v>
      </c>
      <c r="D1463">
        <v>13</v>
      </c>
      <c r="E1463">
        <v>223.44</v>
      </c>
      <c r="F1463" t="s">
        <v>31</v>
      </c>
      <c r="G1463" t="s">
        <v>36</v>
      </c>
      <c r="H1463">
        <v>0.15</v>
      </c>
      <c r="I1463" t="s">
        <v>40</v>
      </c>
      <c r="J1463">
        <v>2469.0120000000002</v>
      </c>
      <c r="K1463" t="s">
        <v>45</v>
      </c>
      <c r="L1463" t="s">
        <v>2927</v>
      </c>
      <c r="M1463">
        <v>1</v>
      </c>
      <c r="N1463" t="s">
        <v>1512</v>
      </c>
      <c r="O1463" t="s">
        <v>2890</v>
      </c>
      <c r="P1463">
        <v>38.46</v>
      </c>
      <c r="Q1463" s="1">
        <v>45688</v>
      </c>
      <c r="R1463" s="1">
        <v>45695</v>
      </c>
      <c r="S1463" t="s">
        <v>2924</v>
      </c>
    </row>
    <row r="1464" spans="1:19" x14ac:dyDescent="0.3">
      <c r="A1464" s="1">
        <v>45743</v>
      </c>
      <c r="B1464" t="s">
        <v>19</v>
      </c>
      <c r="C1464" t="s">
        <v>25</v>
      </c>
      <c r="D1464">
        <v>11</v>
      </c>
      <c r="E1464">
        <v>548.08000000000004</v>
      </c>
      <c r="F1464" t="s">
        <v>34</v>
      </c>
      <c r="G1464" t="s">
        <v>35</v>
      </c>
      <c r="H1464">
        <v>0.05</v>
      </c>
      <c r="I1464" t="s">
        <v>37</v>
      </c>
      <c r="J1464">
        <v>5727.4359999999997</v>
      </c>
      <c r="K1464" t="s">
        <v>47</v>
      </c>
      <c r="L1464" t="s">
        <v>2927</v>
      </c>
      <c r="M1464">
        <v>0</v>
      </c>
      <c r="N1464" t="s">
        <v>1513</v>
      </c>
      <c r="O1464" t="s">
        <v>2891</v>
      </c>
      <c r="P1464">
        <v>25.82</v>
      </c>
      <c r="Q1464" s="1">
        <v>45743</v>
      </c>
      <c r="R1464" s="1">
        <v>45753</v>
      </c>
      <c r="S1464" t="s">
        <v>2922</v>
      </c>
    </row>
    <row r="1465" spans="1:19" x14ac:dyDescent="0.3">
      <c r="A1465" s="1">
        <v>45676</v>
      </c>
      <c r="B1465" t="s">
        <v>22</v>
      </c>
      <c r="C1465" t="s">
        <v>26</v>
      </c>
      <c r="D1465">
        <v>11</v>
      </c>
      <c r="E1465">
        <v>133.63999999999999</v>
      </c>
      <c r="F1465" t="s">
        <v>34</v>
      </c>
      <c r="G1465" t="s">
        <v>35</v>
      </c>
      <c r="H1465">
        <v>0</v>
      </c>
      <c r="I1465" t="s">
        <v>41</v>
      </c>
      <c r="J1465">
        <v>1470.04</v>
      </c>
      <c r="K1465" t="s">
        <v>46</v>
      </c>
      <c r="L1465" t="s">
        <v>2927</v>
      </c>
      <c r="M1465">
        <v>1</v>
      </c>
      <c r="N1465" t="s">
        <v>1514</v>
      </c>
      <c r="O1465" t="s">
        <v>2564</v>
      </c>
      <c r="P1465">
        <v>30.18</v>
      </c>
      <c r="Q1465" s="1">
        <v>45676</v>
      </c>
      <c r="R1465" s="1">
        <v>45681</v>
      </c>
      <c r="S1465" t="s">
        <v>2925</v>
      </c>
    </row>
    <row r="1466" spans="1:19" x14ac:dyDescent="0.3">
      <c r="A1466" s="1">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1">
        <v>45428</v>
      </c>
      <c r="R1466" s="1">
        <v>45433</v>
      </c>
      <c r="S1466" t="s">
        <v>2924</v>
      </c>
    </row>
    <row r="1467" spans="1:19" x14ac:dyDescent="0.3">
      <c r="A1467" s="1">
        <v>45173</v>
      </c>
      <c r="B1467" t="s">
        <v>22</v>
      </c>
      <c r="C1467" t="s">
        <v>27</v>
      </c>
      <c r="D1467">
        <v>14</v>
      </c>
      <c r="E1467">
        <v>115.98</v>
      </c>
      <c r="F1467" t="s">
        <v>32</v>
      </c>
      <c r="G1467" t="s">
        <v>35</v>
      </c>
      <c r="H1467">
        <v>0</v>
      </c>
      <c r="I1467" t="s">
        <v>42</v>
      </c>
      <c r="J1467">
        <v>1623.72</v>
      </c>
      <c r="K1467" t="s">
        <v>46</v>
      </c>
      <c r="L1467" t="s">
        <v>2927</v>
      </c>
      <c r="M1467">
        <v>0</v>
      </c>
      <c r="N1467" t="s">
        <v>1516</v>
      </c>
      <c r="O1467" t="s">
        <v>2893</v>
      </c>
      <c r="P1467">
        <v>31.85</v>
      </c>
      <c r="Q1467" s="1">
        <v>45173</v>
      </c>
      <c r="R1467" s="1">
        <v>45175</v>
      </c>
      <c r="S1467" t="s">
        <v>2925</v>
      </c>
    </row>
    <row r="1468" spans="1:19" x14ac:dyDescent="0.3">
      <c r="A1468" s="1">
        <v>45277</v>
      </c>
      <c r="B1468" t="s">
        <v>20</v>
      </c>
      <c r="C1468" t="s">
        <v>28</v>
      </c>
      <c r="D1468">
        <v>9</v>
      </c>
      <c r="E1468">
        <v>55.04</v>
      </c>
      <c r="F1468" t="s">
        <v>31</v>
      </c>
      <c r="G1468" t="s">
        <v>36</v>
      </c>
      <c r="H1468">
        <v>0.15</v>
      </c>
      <c r="I1468" t="s">
        <v>38</v>
      </c>
      <c r="J1468">
        <v>421.05599999999998</v>
      </c>
      <c r="K1468" t="s">
        <v>43</v>
      </c>
      <c r="L1468" t="s">
        <v>2927</v>
      </c>
      <c r="M1468">
        <v>0</v>
      </c>
      <c r="N1468" t="s">
        <v>1517</v>
      </c>
      <c r="O1468" t="s">
        <v>2894</v>
      </c>
      <c r="P1468">
        <v>31.09</v>
      </c>
      <c r="Q1468" s="1">
        <v>45277</v>
      </c>
      <c r="R1468" s="1">
        <v>45283</v>
      </c>
      <c r="S1468" t="s">
        <v>2923</v>
      </c>
    </row>
    <row r="1469" spans="1:19" x14ac:dyDescent="0.3">
      <c r="A1469" s="1">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1">
        <v>45306</v>
      </c>
      <c r="R1469" s="1">
        <v>45312</v>
      </c>
      <c r="S1469" t="s">
        <v>2925</v>
      </c>
    </row>
    <row r="1470" spans="1:19" x14ac:dyDescent="0.3">
      <c r="A1470" s="1">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1">
        <v>45645</v>
      </c>
      <c r="R1470" s="1">
        <v>45655</v>
      </c>
      <c r="S1470" t="s">
        <v>2925</v>
      </c>
    </row>
    <row r="1471" spans="1:19" x14ac:dyDescent="0.3">
      <c r="A1471" s="1">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1">
        <v>45276</v>
      </c>
      <c r="R1471" s="1">
        <v>45278</v>
      </c>
      <c r="S1471" t="s">
        <v>2924</v>
      </c>
    </row>
    <row r="1472" spans="1:19" x14ac:dyDescent="0.3">
      <c r="A1472" s="1">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1">
        <v>45791</v>
      </c>
      <c r="R1472" s="1">
        <v>45795</v>
      </c>
      <c r="S1472" t="s">
        <v>2925</v>
      </c>
    </row>
    <row r="1473" spans="1:19" x14ac:dyDescent="0.3">
      <c r="A1473" s="1">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1">
        <v>45107</v>
      </c>
      <c r="R1473" s="1">
        <v>45109</v>
      </c>
      <c r="S1473" t="s">
        <v>2923</v>
      </c>
    </row>
    <row r="1474" spans="1:19" x14ac:dyDescent="0.3">
      <c r="A1474" s="1">
        <v>45838</v>
      </c>
      <c r="B1474" t="s">
        <v>20</v>
      </c>
      <c r="C1474" t="s">
        <v>25</v>
      </c>
      <c r="D1474">
        <v>20</v>
      </c>
      <c r="E1474">
        <v>444.77</v>
      </c>
      <c r="F1474" t="s">
        <v>31</v>
      </c>
      <c r="G1474" t="s">
        <v>35</v>
      </c>
      <c r="H1474">
        <v>0.1</v>
      </c>
      <c r="I1474" t="s">
        <v>41</v>
      </c>
      <c r="J1474">
        <v>8005.86</v>
      </c>
      <c r="K1474" t="s">
        <v>43</v>
      </c>
      <c r="L1474" t="s">
        <v>2927</v>
      </c>
      <c r="M1474">
        <v>1</v>
      </c>
      <c r="N1474" t="s">
        <v>1523</v>
      </c>
      <c r="O1474" t="s">
        <v>2898</v>
      </c>
      <c r="P1474">
        <v>20.05</v>
      </c>
      <c r="Q1474" s="1">
        <v>45838</v>
      </c>
      <c r="R1474" s="1">
        <v>45845</v>
      </c>
      <c r="S1474" t="s">
        <v>2923</v>
      </c>
    </row>
    <row r="1475" spans="1:19" x14ac:dyDescent="0.3">
      <c r="A1475" s="1">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1">
        <v>45730</v>
      </c>
      <c r="R1475" s="1">
        <v>45738</v>
      </c>
      <c r="S1475" t="s">
        <v>2925</v>
      </c>
    </row>
    <row r="1476" spans="1:19" x14ac:dyDescent="0.3">
      <c r="A1476" s="1">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1">
        <v>45034</v>
      </c>
      <c r="R1476" s="1">
        <v>45043</v>
      </c>
      <c r="S1476" t="s">
        <v>2923</v>
      </c>
    </row>
    <row r="1477" spans="1:19" x14ac:dyDescent="0.3">
      <c r="A1477" s="1">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1">
        <v>45546</v>
      </c>
      <c r="R1477" s="1">
        <v>45554</v>
      </c>
      <c r="S1477" t="s">
        <v>2926</v>
      </c>
    </row>
    <row r="1478" spans="1:19" x14ac:dyDescent="0.3">
      <c r="A1478" s="1">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1">
        <v>45251</v>
      </c>
      <c r="R1478" s="1">
        <v>45258</v>
      </c>
      <c r="S1478" t="s">
        <v>2925</v>
      </c>
    </row>
    <row r="1479" spans="1:19" x14ac:dyDescent="0.3">
      <c r="A1479" s="1">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1">
        <v>45351</v>
      </c>
      <c r="R1479" s="1">
        <v>45358</v>
      </c>
      <c r="S1479" t="s">
        <v>2926</v>
      </c>
    </row>
    <row r="1480" spans="1:19" x14ac:dyDescent="0.3">
      <c r="A1480" s="1">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1">
        <v>45057</v>
      </c>
      <c r="R1480" s="1">
        <v>45061</v>
      </c>
      <c r="S1480" t="s">
        <v>2926</v>
      </c>
    </row>
    <row r="1481" spans="1:19" x14ac:dyDescent="0.3">
      <c r="A1481" s="1">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1">
        <v>45546</v>
      </c>
      <c r="R1481" s="1">
        <v>45555</v>
      </c>
      <c r="S1481" t="s">
        <v>2923</v>
      </c>
    </row>
    <row r="1482" spans="1:19" x14ac:dyDescent="0.3">
      <c r="A1482" s="1">
        <v>45520</v>
      </c>
      <c r="B1482" t="s">
        <v>23</v>
      </c>
      <c r="C1482" t="s">
        <v>30</v>
      </c>
      <c r="D1482">
        <v>16</v>
      </c>
      <c r="E1482">
        <v>483.37</v>
      </c>
      <c r="F1482" t="s">
        <v>31</v>
      </c>
      <c r="G1482" t="s">
        <v>36</v>
      </c>
      <c r="H1482">
        <v>0.1</v>
      </c>
      <c r="I1482" t="s">
        <v>38</v>
      </c>
      <c r="J1482">
        <v>6960.5280000000002</v>
      </c>
      <c r="K1482" t="s">
        <v>46</v>
      </c>
      <c r="L1482" t="s">
        <v>2927</v>
      </c>
      <c r="M1482">
        <v>0</v>
      </c>
      <c r="N1482" t="s">
        <v>1531</v>
      </c>
      <c r="O1482" t="s">
        <v>2903</v>
      </c>
      <c r="P1482">
        <v>42.52</v>
      </c>
      <c r="Q1482" s="1">
        <v>45520</v>
      </c>
      <c r="R1482" s="1">
        <v>45526</v>
      </c>
      <c r="S1482" t="s">
        <v>2926</v>
      </c>
    </row>
    <row r="1483" spans="1:19" x14ac:dyDescent="0.3">
      <c r="A1483" s="1">
        <v>45807</v>
      </c>
      <c r="B1483" t="s">
        <v>21</v>
      </c>
      <c r="C1483" t="s">
        <v>28</v>
      </c>
      <c r="D1483">
        <v>6</v>
      </c>
      <c r="E1483">
        <v>159.53</v>
      </c>
      <c r="F1483" t="s">
        <v>32</v>
      </c>
      <c r="G1483" t="s">
        <v>36</v>
      </c>
      <c r="H1483">
        <v>0.05</v>
      </c>
      <c r="I1483" t="s">
        <v>42</v>
      </c>
      <c r="J1483">
        <v>909.32100000000003</v>
      </c>
      <c r="K1483" t="s">
        <v>44</v>
      </c>
      <c r="L1483" t="s">
        <v>2927</v>
      </c>
      <c r="M1483">
        <v>0</v>
      </c>
      <c r="N1483" t="s">
        <v>1532</v>
      </c>
      <c r="O1483" t="s">
        <v>2904</v>
      </c>
      <c r="P1483">
        <v>48.6</v>
      </c>
      <c r="Q1483" s="1">
        <v>45807</v>
      </c>
      <c r="R1483" s="1">
        <v>45815</v>
      </c>
      <c r="S1483" t="s">
        <v>2924</v>
      </c>
    </row>
    <row r="1484" spans="1:19" x14ac:dyDescent="0.3">
      <c r="A1484" s="1">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1">
        <v>45160</v>
      </c>
      <c r="R1484" s="1">
        <v>45166</v>
      </c>
      <c r="S1484" t="s">
        <v>2922</v>
      </c>
    </row>
    <row r="1485" spans="1:19" x14ac:dyDescent="0.3">
      <c r="A1485" s="1">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1">
        <v>45314</v>
      </c>
      <c r="R1485" s="1">
        <v>45316</v>
      </c>
      <c r="S1485" t="s">
        <v>2922</v>
      </c>
    </row>
    <row r="1486" spans="1:19" x14ac:dyDescent="0.3">
      <c r="A1486" s="1">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1">
        <v>45001</v>
      </c>
      <c r="R1486" s="1">
        <v>45008</v>
      </c>
      <c r="S1486" t="s">
        <v>2924</v>
      </c>
    </row>
    <row r="1487" spans="1:19" x14ac:dyDescent="0.3">
      <c r="A1487" s="1">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1">
        <v>45793</v>
      </c>
      <c r="R1487" s="1">
        <v>45798</v>
      </c>
      <c r="S1487" t="s">
        <v>2923</v>
      </c>
    </row>
    <row r="1488" spans="1:19" x14ac:dyDescent="0.3">
      <c r="A1488" s="1">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1">
        <v>45069</v>
      </c>
      <c r="R1488" s="1">
        <v>45075</v>
      </c>
      <c r="S1488" t="s">
        <v>2922</v>
      </c>
    </row>
    <row r="1489" spans="1:19" x14ac:dyDescent="0.3">
      <c r="A1489" s="1">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1">
        <v>45459</v>
      </c>
      <c r="R1489" s="1">
        <v>45466</v>
      </c>
      <c r="S1489" t="s">
        <v>2924</v>
      </c>
    </row>
    <row r="1490" spans="1:19" x14ac:dyDescent="0.3">
      <c r="A1490" s="1">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1">
        <v>45685</v>
      </c>
      <c r="R1490" s="1">
        <v>45692</v>
      </c>
      <c r="S1490" t="s">
        <v>2925</v>
      </c>
    </row>
    <row r="1491" spans="1:19" x14ac:dyDescent="0.3">
      <c r="A1491" s="1">
        <v>45623</v>
      </c>
      <c r="B1491" t="s">
        <v>20</v>
      </c>
      <c r="C1491" t="s">
        <v>25</v>
      </c>
      <c r="D1491">
        <v>13</v>
      </c>
      <c r="E1491">
        <v>196.8</v>
      </c>
      <c r="F1491" t="s">
        <v>31</v>
      </c>
      <c r="G1491" t="s">
        <v>36</v>
      </c>
      <c r="H1491">
        <v>0.1</v>
      </c>
      <c r="I1491" t="s">
        <v>41</v>
      </c>
      <c r="J1491">
        <v>2302.56</v>
      </c>
      <c r="K1491" t="s">
        <v>47</v>
      </c>
      <c r="L1491" t="s">
        <v>2927</v>
      </c>
      <c r="M1491">
        <v>0</v>
      </c>
      <c r="N1491" t="s">
        <v>1540</v>
      </c>
      <c r="O1491" t="s">
        <v>2912</v>
      </c>
      <c r="P1491">
        <v>10.119999999999999</v>
      </c>
      <c r="Q1491" s="1">
        <v>45623</v>
      </c>
      <c r="R1491" s="1">
        <v>45633</v>
      </c>
      <c r="S1491" t="s">
        <v>2923</v>
      </c>
    </row>
    <row r="1492" spans="1:19" x14ac:dyDescent="0.3">
      <c r="A1492" s="1">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1">
        <v>45208</v>
      </c>
      <c r="R1492" s="1">
        <v>45210</v>
      </c>
      <c r="S1492" t="s">
        <v>2925</v>
      </c>
    </row>
    <row r="1493" spans="1:19" x14ac:dyDescent="0.3">
      <c r="A1493" s="1">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1">
        <v>45494</v>
      </c>
      <c r="R1493" s="1">
        <v>45504</v>
      </c>
      <c r="S1493" t="s">
        <v>2926</v>
      </c>
    </row>
    <row r="1494" spans="1:19" x14ac:dyDescent="0.3">
      <c r="A1494" s="1">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1">
        <v>45476</v>
      </c>
      <c r="R1494" s="1">
        <v>45480</v>
      </c>
      <c r="S1494" t="s">
        <v>2922</v>
      </c>
    </row>
    <row r="1495" spans="1:19" x14ac:dyDescent="0.3">
      <c r="A1495" s="1">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1">
        <v>45559</v>
      </c>
      <c r="R1495" s="1">
        <v>45567</v>
      </c>
      <c r="S1495" t="s">
        <v>2926</v>
      </c>
    </row>
    <row r="1496" spans="1:19" x14ac:dyDescent="0.3">
      <c r="A1496" s="1">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1">
        <v>45671</v>
      </c>
      <c r="R1496" s="1">
        <v>45678</v>
      </c>
      <c r="S1496" t="s">
        <v>2922</v>
      </c>
    </row>
    <row r="1497" spans="1:19" x14ac:dyDescent="0.3">
      <c r="A1497" s="1">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1">
        <v>45705</v>
      </c>
      <c r="R1497" s="1">
        <v>45710</v>
      </c>
      <c r="S1497" t="s">
        <v>2926</v>
      </c>
    </row>
    <row r="1498" spans="1:19" x14ac:dyDescent="0.3">
      <c r="A1498" s="1">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1">
        <v>45302</v>
      </c>
      <c r="R1498" s="1">
        <v>45308</v>
      </c>
      <c r="S1498" t="s">
        <v>2923</v>
      </c>
    </row>
    <row r="1499" spans="1:19" x14ac:dyDescent="0.3">
      <c r="A1499" s="1">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1">
        <v>45500</v>
      </c>
      <c r="R1499" s="1">
        <v>45507</v>
      </c>
      <c r="S1499" t="s">
        <v>2922</v>
      </c>
    </row>
    <row r="1500" spans="1:19" x14ac:dyDescent="0.3">
      <c r="A1500" s="1">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1">
        <v>45629</v>
      </c>
      <c r="R1500" s="1">
        <v>45636</v>
      </c>
      <c r="S1500" t="s">
        <v>2925</v>
      </c>
    </row>
    <row r="1501" spans="1:19" x14ac:dyDescent="0.3">
      <c r="A1501" s="1">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1">
        <v>45786</v>
      </c>
      <c r="R1501" s="1">
        <v>45790</v>
      </c>
      <c r="S1501" t="s">
        <v>2926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B493B-39E6-49C5-82A3-96A162634FB9}">
  <dimension ref="A1"/>
  <sheetViews>
    <sheetView zoomScale="75" zoomScaleNormal="75" workbookViewId="0">
      <selection activeCell="AE15" sqref="AE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26005-2AD4-4DB5-8D5B-B657429969FC}">
  <dimension ref="B1:B20"/>
  <sheetViews>
    <sheetView workbookViewId="0">
      <selection activeCell="G17" sqref="G17"/>
    </sheetView>
  </sheetViews>
  <sheetFormatPr defaultRowHeight="14.4" x14ac:dyDescent="0.3"/>
  <cols>
    <col min="2" max="2" width="52" style="7" bestFit="1" customWidth="1"/>
  </cols>
  <sheetData>
    <row r="1" spans="2:2" x14ac:dyDescent="0.3">
      <c r="B1"/>
    </row>
    <row r="2" spans="2:2" ht="15" thickBot="1" x14ac:dyDescent="0.35">
      <c r="B2"/>
    </row>
    <row r="3" spans="2:2" ht="17.399999999999999" x14ac:dyDescent="0.3">
      <c r="B3" s="4" t="s">
        <v>2928</v>
      </c>
    </row>
    <row r="4" spans="2:2" x14ac:dyDescent="0.3">
      <c r="B4" s="5" t="s">
        <v>2929</v>
      </c>
    </row>
    <row r="5" spans="2:2" x14ac:dyDescent="0.3">
      <c r="B5" s="5" t="s">
        <v>2930</v>
      </c>
    </row>
    <row r="6" spans="2:2" x14ac:dyDescent="0.3">
      <c r="B6" s="5" t="s">
        <v>2931</v>
      </c>
    </row>
    <row r="7" spans="2:2" x14ac:dyDescent="0.3">
      <c r="B7" s="5" t="s">
        <v>2932</v>
      </c>
    </row>
    <row r="8" spans="2:2" x14ac:dyDescent="0.3">
      <c r="B8" s="5" t="s">
        <v>2933</v>
      </c>
    </row>
    <row r="9" spans="2:2" x14ac:dyDescent="0.3">
      <c r="B9" s="5" t="s">
        <v>2934</v>
      </c>
    </row>
    <row r="10" spans="2:2" ht="15" thickBot="1" x14ac:dyDescent="0.35">
      <c r="B10" s="6" t="s">
        <v>2935</v>
      </c>
    </row>
    <row r="11" spans="2:2" ht="15" thickBot="1" x14ac:dyDescent="0.35">
      <c r="B11"/>
    </row>
    <row r="12" spans="2:2" ht="17.399999999999999" x14ac:dyDescent="0.3">
      <c r="B12" s="4" t="s">
        <v>2936</v>
      </c>
    </row>
    <row r="13" spans="2:2" x14ac:dyDescent="0.3">
      <c r="B13" s="8" t="s">
        <v>2937</v>
      </c>
    </row>
    <row r="14" spans="2:2" x14ac:dyDescent="0.3">
      <c r="B14" s="8" t="s">
        <v>2938</v>
      </c>
    </row>
    <row r="15" spans="2:2" x14ac:dyDescent="0.3">
      <c r="B15" s="8" t="s">
        <v>2939</v>
      </c>
    </row>
    <row r="16" spans="2:2" x14ac:dyDescent="0.3">
      <c r="B16" s="8" t="s">
        <v>2941</v>
      </c>
    </row>
    <row r="17" spans="2:2" x14ac:dyDescent="0.3">
      <c r="B17" s="8" t="s">
        <v>2940</v>
      </c>
    </row>
    <row r="18" spans="2:2" ht="28.2" x14ac:dyDescent="0.3">
      <c r="B18" s="9" t="s">
        <v>2942</v>
      </c>
    </row>
    <row r="19" spans="2:2" x14ac:dyDescent="0.3">
      <c r="B19" s="8" t="s">
        <v>2943</v>
      </c>
    </row>
    <row r="20" spans="2:2" ht="15" thickBot="1" x14ac:dyDescent="0.35">
      <c r="B20" s="10" t="s">
        <v>2944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7DE7186D-6C87-4D87-87A2-D85576B79234}">
  <ds:schemaRefs/>
</ds:datastoreItem>
</file>

<file path=customXml/itemProps2.xml><?xml version="1.0" encoding="utf-8"?>
<ds:datastoreItem xmlns:ds="http://schemas.openxmlformats.org/officeDocument/2006/customXml" ds:itemID="{917B2518-E2F4-46FE-B91A-E88F75203D5A}">
  <ds:schemaRefs/>
</ds:datastoreItem>
</file>

<file path=customXml/itemProps3.xml><?xml version="1.0" encoding="utf-8"?>
<ds:datastoreItem xmlns:ds="http://schemas.openxmlformats.org/officeDocument/2006/customXml" ds:itemID="{499503D0-D293-4AC5-92D5-B267D55E986B}">
  <ds:schemaRefs/>
</ds:datastoreItem>
</file>

<file path=customXml/itemProps4.xml><?xml version="1.0" encoding="utf-8"?>
<ds:datastoreItem xmlns:ds="http://schemas.openxmlformats.org/officeDocument/2006/customXml" ds:itemID="{092ECD98-7371-4E52-9B56-3FCB6DB94B7A}">
  <ds:schemaRefs/>
</ds:datastoreItem>
</file>

<file path=customXml/itemProps5.xml><?xml version="1.0" encoding="utf-8"?>
<ds:datastoreItem xmlns:ds="http://schemas.openxmlformats.org/officeDocument/2006/customXml" ds:itemID="{63F8C3E9-E368-417E-BF6C-45D1F636C7D1}">
  <ds:schemaRefs/>
</ds:datastoreItem>
</file>

<file path=customXml/itemProps6.xml><?xml version="1.0" encoding="utf-8"?>
<ds:datastoreItem xmlns:ds="http://schemas.openxmlformats.org/officeDocument/2006/customXml" ds:itemID="{C7859FE7-6B10-417F-8FE3-40234079DDD3}">
  <ds:schemaRefs/>
</ds:datastoreItem>
</file>

<file path=customXml/itemProps7.xml><?xml version="1.0" encoding="utf-8"?>
<ds:datastoreItem xmlns:ds="http://schemas.openxmlformats.org/officeDocument/2006/customXml" ds:itemID="{290FDDD4-6C23-4EDE-8480-434AB4C3907E}">
  <ds:schemaRefs/>
</ds:datastoreItem>
</file>

<file path=customXml/itemProps8.xml><?xml version="1.0" encoding="utf-8"?>
<ds:datastoreItem xmlns:ds="http://schemas.openxmlformats.org/officeDocument/2006/customXml" ds:itemID="{C5768785-CBC2-4E02-AAEA-D2CD4850AAC6}">
  <ds:schemaRefs/>
</ds:datastoreItem>
</file>

<file path=customXml/itemProps9.xml><?xml version="1.0" encoding="utf-8"?>
<ds:datastoreItem xmlns:ds="http://schemas.openxmlformats.org/officeDocument/2006/customXml" ds:itemID="{27626549-160A-4B61-A069-2346D674D7AB}">
  <ds:schemaRefs/>
</ds:datastoreItem>
</file>

<file path=customXml/itemProps10.xml><?xml version="1.0" encoding="utf-8"?>
<ds:datastoreItem xmlns:ds="http://schemas.openxmlformats.org/officeDocument/2006/customXml" ds:itemID="{ACB766A8-6F39-47D7-B309-D199D00381D9}">
  <ds:schemaRefs/>
</ds:datastoreItem>
</file>

<file path=customXml/itemProps11.xml><?xml version="1.0" encoding="utf-8"?>
<ds:datastoreItem xmlns:ds="http://schemas.openxmlformats.org/officeDocument/2006/customXml" ds:itemID="{80B74F54-F0D9-451E-9F89-65518B16780B}">
  <ds:schemaRefs/>
</ds:datastoreItem>
</file>

<file path=customXml/itemProps12.xml><?xml version="1.0" encoding="utf-8"?>
<ds:datastoreItem xmlns:ds="http://schemas.openxmlformats.org/officeDocument/2006/customXml" ds:itemID="{895E3E68-679E-4E16-98D0-681E6DD97A4C}">
  <ds:schemaRefs/>
</ds:datastoreItem>
</file>

<file path=customXml/itemProps13.xml><?xml version="1.0" encoding="utf-8"?>
<ds:datastoreItem xmlns:ds="http://schemas.openxmlformats.org/officeDocument/2006/customXml" ds:itemID="{205D48D3-6A03-4672-B1D6-A7EE5CCD8E5E}">
  <ds:schemaRefs/>
</ds:datastoreItem>
</file>

<file path=customXml/itemProps14.xml><?xml version="1.0" encoding="utf-8"?>
<ds:datastoreItem xmlns:ds="http://schemas.openxmlformats.org/officeDocument/2006/customXml" ds:itemID="{4CEBF58F-B311-4866-9D45-1AC38F1905B2}">
  <ds:schemaRefs/>
</ds:datastoreItem>
</file>

<file path=customXml/itemProps15.xml><?xml version="1.0" encoding="utf-8"?>
<ds:datastoreItem xmlns:ds="http://schemas.openxmlformats.org/officeDocument/2006/customXml" ds:itemID="{E91CF5C6-AF32-4E65-BA3B-2CA80CAD2BC1}">
  <ds:schemaRefs/>
</ds:datastoreItem>
</file>

<file path=customXml/itemProps16.xml><?xml version="1.0" encoding="utf-8"?>
<ds:datastoreItem xmlns:ds="http://schemas.openxmlformats.org/officeDocument/2006/customXml" ds:itemID="{AD988DF3-7F77-414F-9B43-0309400B78C2}">
  <ds:schemaRefs/>
</ds:datastoreItem>
</file>

<file path=customXml/itemProps17.xml><?xml version="1.0" encoding="utf-8"?>
<ds:datastoreItem xmlns:ds="http://schemas.openxmlformats.org/officeDocument/2006/customXml" ds:itemID="{DC21AF4B-27A4-4331-9604-4963122DFD87}">
  <ds:schemaRefs/>
</ds:datastoreItem>
</file>

<file path=customXml/itemProps18.xml><?xml version="1.0" encoding="utf-8"?>
<ds:datastoreItem xmlns:ds="http://schemas.openxmlformats.org/officeDocument/2006/customXml" ds:itemID="{AE4CCD19-87CC-45E3-98C6-A33F967F4BB8}">
  <ds:schemaRefs/>
</ds:datastoreItem>
</file>

<file path=customXml/itemProps19.xml><?xml version="1.0" encoding="utf-8"?>
<ds:datastoreItem xmlns:ds="http://schemas.openxmlformats.org/officeDocument/2006/customXml" ds:itemID="{DB36286C-EEF9-4474-AB9B-1EDC19BBC6E3}">
  <ds:schemaRefs/>
</ds:datastoreItem>
</file>

<file path=customXml/itemProps20.xml><?xml version="1.0" encoding="utf-8"?>
<ds:datastoreItem xmlns:ds="http://schemas.openxmlformats.org/officeDocument/2006/customXml" ds:itemID="{581B15B4-EE12-4E75-86BF-A4832B604673}">
  <ds:schemaRefs/>
</ds:datastoreItem>
</file>

<file path=customXml/itemProps21.xml><?xml version="1.0" encoding="utf-8"?>
<ds:datastoreItem xmlns:ds="http://schemas.openxmlformats.org/officeDocument/2006/customXml" ds:itemID="{4509E6DC-3A57-45D2-B2D5-E88E759C397C}">
  <ds:schemaRefs/>
</ds:datastoreItem>
</file>

<file path=customXml/itemProps22.xml><?xml version="1.0" encoding="utf-8"?>
<ds:datastoreItem xmlns:ds="http://schemas.openxmlformats.org/officeDocument/2006/customXml" ds:itemID="{7490AA7C-DF57-407D-95B2-351B486E6915}">
  <ds:schemaRefs/>
</ds:datastoreItem>
</file>

<file path=customXml/itemProps23.xml><?xml version="1.0" encoding="utf-8"?>
<ds:datastoreItem xmlns:ds="http://schemas.openxmlformats.org/officeDocument/2006/customXml" ds:itemID="{79CE417A-6F66-48FA-9611-5B4A2224413B}">
  <ds:schemaRefs/>
</ds:datastoreItem>
</file>

<file path=customXml/itemProps24.xml><?xml version="1.0" encoding="utf-8"?>
<ds:datastoreItem xmlns:ds="http://schemas.openxmlformats.org/officeDocument/2006/customXml" ds:itemID="{8CA3852A-470F-4864-8B3F-6B9A3FF2F8CA}">
  <ds:schemaRefs/>
</ds:datastoreItem>
</file>

<file path=customXml/itemProps25.xml><?xml version="1.0" encoding="utf-8"?>
<ds:datastoreItem xmlns:ds="http://schemas.openxmlformats.org/officeDocument/2006/customXml" ds:itemID="{6EE04F83-54B5-4D97-8F5A-9693612028AE}">
  <ds:schemaRefs/>
</ds:datastoreItem>
</file>

<file path=customXml/itemProps26.xml><?xml version="1.0" encoding="utf-8"?>
<ds:datastoreItem xmlns:ds="http://schemas.openxmlformats.org/officeDocument/2006/customXml" ds:itemID="{18794244-DF26-4F2B-86B3-14A56BE66C7C}">
  <ds:schemaRefs/>
</ds:datastoreItem>
</file>

<file path=customXml/itemProps27.xml><?xml version="1.0" encoding="utf-8"?>
<ds:datastoreItem xmlns:ds="http://schemas.openxmlformats.org/officeDocument/2006/customXml" ds:itemID="{08EC8615-9B95-446B-9332-F1F2318B28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Power_Pivot_Table</vt:lpstr>
      <vt:lpstr>Raw_Data</vt:lpstr>
      <vt:lpstr>Dashboard</vt:lpstr>
      <vt:lpstr>KPI's &amp; Requirement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Kaushik</dc:creator>
  <cp:lastModifiedBy>Mohit Kaushik</cp:lastModifiedBy>
  <dcterms:created xsi:type="dcterms:W3CDTF">2025-06-21T13:19:11Z</dcterms:created>
  <dcterms:modified xsi:type="dcterms:W3CDTF">2026-05-18T16:20:16Z</dcterms:modified>
</cp:coreProperties>
</file>